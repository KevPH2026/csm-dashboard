
<file path=[Content_Types].xml><?xml version="1.0" encoding="utf-8"?>
<Types xmlns="http://schemas.openxmlformats.org/package/2006/content-types">
  <Default Extension="vml" ContentType="application/vnd.openxmlformats-officedocument.vmlDrawing"/>
  <Default Extension="jpg" ContentType="image/jpeg"/>
  <Default Extension="rels" ContentType="application/vnd.openxmlformats-package.relationships+xml"/>
  <Default Extension="xml" ContentType="application/xml"/>
  <Override PartName="/xl/pivotCache/pivotCacheRecords3.xml" ContentType="application/vnd.openxmlformats-officedocument.spreadsheetml.pivotCacheRecords+xml"/>
  <Override PartName="/xl/pivotCache/pivotCacheRecords2.xml" ContentType="application/vnd.openxmlformats-officedocument.spreadsheetml.pivotCacheRecords+xml"/>
  <Override PartName="/xl/worksheets/sheet6.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persons/person.xml" ContentType="application/vnd.ms-excel.person+xml"/>
  <Override PartName="/xl/pivotTables/pivotTable3.xml" ContentType="application/vnd.openxmlformats-officedocument.spreadsheetml.pivotTable+xml"/>
  <Override PartName="/xl/sharedStrings.xml" ContentType="application/vnd.openxmlformats-officedocument.spreadsheetml.sharedStrings+xml"/>
  <Override PartName="/xl/threadedComments/threadedComment1.xml" ContentType="application/vnd.ms-excel.threadedcomments+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threadedComments/threadedComment3.xml" ContentType="application/vnd.ms-excel.threadedcomments+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theme/theme1.xml" ContentType="application/vnd.openxmlformats-officedocument.theme+xml"/>
  <Override PartName="/xl/pivotCache/pivotCacheDefinition2.xml" ContentType="application/vnd.openxmlformats-officedocument.spreadsheetml.pivotCacheDefinition+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xl/pivotCache/pivotCacheRecords1.xml" ContentType="application/vnd.openxmlformats-officedocument.spreadsheetml.pivotCacheRecords+xml"/>
  <Override PartName="/xl/worksheets/sheet7.xml" ContentType="application/vnd.openxmlformats-officedocument.spreadsheetml.worksheet+xml"/>
  <Override PartName="/xl/pivotCache/pivotCacheDefinition3.xml" ContentType="application/vnd.openxmlformats-officedocument.spreadsheetml.pivotCacheDefinition+xml"/>
  <Override PartName="/xl/worksheets/sheet3.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7"/>
    <sheet name="产品培训公开课报名" sheetId="2" r:id="rId8"/>
    <sheet name="规则备忘" sheetId="3" r:id="rId9"/>
    <sheet name="埃米退转款列表" sheetId="4" r:id="rId10"/>
    <sheet name="服务进度表-交付实施" sheetId="5" r:id="rId11"/>
    <sheet name="服务进度表-客成" sheetId="6" r:id="rId12"/>
    <sheet name="客诉及营销汇总表" sheetId="7" r:id="rId13"/>
    <sheet name="交付实施进度" sheetId="8" r:id="rId14"/>
  </sheets>
  <calcPr/>
  <customWorkbookViews>
    <customWorkbookView name="马旭蕊 的视图" guid="{C88EB5EB-B8D3-4F22-936A-0B933C106AB0}" maximized="true" windowWidth="1415" windowHeight="872" activeSheetId="1"/>
    <customWorkbookView name="白英斌 的视图" guid="{B8B274A4-758E-48E5-A6F5-61944A07449E}" maximized="true" windowWidth="1415" windowHeight="872" activeSheetId="2"/>
    <customWorkbookView name="马旭蕊 的视图_1" guid="{FB3521E3-435A-4B4C-8650-3F267FE88BEE}" maximized="true" windowWidth="1415" windowHeight="872" activeSheetId="5"/>
  </customWorkbookViews>
  <pivotCaches>
    <pivotCache cacheId="1" r:id="rId4"/>
    <pivotCache cacheId="2" r:id="rId5"/>
    <pivotCache cacheId="3" r:id="rId6"/>
  </pivotCaches>
</workbook>
</file>

<file path=xl/comments1.xml><?xml version="1.0" encoding="utf-8"?>
<comments xmlns="http://schemas.openxmlformats.org/spreadsheetml/2006/main">
  <authors>
    <author>tc={2ADD6AF0-273D-4E38-B475-7F655D0C0C84}</author>
    <author>tc={32519D9D-7048-422B-A360-B9C7F3294918}</author>
    <author>tc={BE9CE4AE-16DA-4EAC-BE94-65398D93A54C}</author>
  </authors>
  <commentList>
    <comment ref="C126" authorId="0">
      <text>
        <r>
          <t>原公司名：济南格拉斯进出口贸易有限公司</t>
        </r>
      </text>
    </comment>
    <comment ref="C22" authorId="1">
      <text>
        <r>
          <t>客户内部人员调整，需要等新的市场经理入职。</t>
        </r>
      </text>
    </comment>
    <comment ref="C79" authorId="2">
      <text>
        <r>
          <t>3月17日签陪跑服务</t>
        </r>
      </text>
    </comment>
  </commentList>
</comments>
</file>

<file path=xl/comments2.xml><?xml version="1.0" encoding="utf-8"?>
<comments xmlns="http://schemas.openxmlformats.org/spreadsheetml/2006/main">
  <authors>
    <author>tc={42D7276E-927F-42A5-BB5F-D0D609165B39}</author>
    <author>tc={7B059F60-8AFA-4DA3-A074-BFF5E236A05A}</author>
    <author>tc={5E0E8E44-3AC1-4B9C-BFEF-95998A100DB5}</author>
    <author>tc={5CFAD173-CD38-4EB6-9B28-B6F2CAB600AE}</author>
    <author>tc={E9292E74-E385-4226-A9DD-5112B6233472}</author>
    <author>tc={020D52CB-DC35-4B89-83D6-6B3D2303F4AE}</author>
    <author>tc={AA40497A-BB80-4EFD-BCE4-6A4B27A6E4CD}</author>
    <author>tc={64F11396-5AE2-48B7-8BA1-92DD679FA6B3}</author>
    <author>tc={6531E595-C080-4E8C-92A3-83B47B3CDE20}</author>
    <author>tc={D68A7F0E-BC7D-4321-806B-3418B7CE01E9}</author>
    <author>tc={28E90409-6821-45F5-BB67-478C0931197C}</author>
    <author>tc={C082F388-2669-45F2-B571-491CDF8D76F1}</author>
    <author>tc={69A76597-C3F9-4E62-B5B6-DA79EAA6BA14}</author>
    <author>tc={78E7E3D2-F58F-4FA3-B270-CBCC8B1DF6B0}</author>
    <author>tc={CB4FB738-B154-4F59-AC47-2101F6144D01}</author>
    <author>tc={C52F7956-C5F5-4197-9A57-CCF0B3A65779}</author>
    <author>tc={CF15554D-F885-4444-9681-39B386C7A6F0}</author>
    <author>tc={7379E13B-DDC1-4EDD-8885-76E344520BD2}</author>
    <author>tc={9A8451FD-A8FE-492A-B957-4BD9B7136ED6}</author>
    <author>tc={9D9353BE-4573-44AE-806D-5810AA0DD4D5}</author>
    <author>tc={C4FABC56-D5C4-4ECA-A0F4-6E3A3F616A67}</author>
    <author>tc={B210BC68-17F9-459E-ADCE-275C7821CDFB}</author>
    <author>tc={9945845E-7DB6-4AEA-9158-3177EB5365FA}</author>
  </authors>
  <commentList>
    <comment ref="J119" authorId="0">
      <text>
        <r>
          <t>客户未确认</t>
        </r>
      </text>
    </comment>
    <comment ref="D295" authorId="1">
      <text>
        <r>
          <t>签A推B</t>
        </r>
      </text>
    </comment>
    <comment ref="O284" authorId="2">
      <text>
        <r>
          <t>客户未回复，需要等客户找人</t>
        </r>
      </text>
    </comment>
    <comment ref="O220" authorId="3">
      <text>
        <r>
          <t>商务侧要求客户网站建设好后再开启服务</t>
        </r>
      </text>
    </comment>
    <comment ref="L16" authorId="4">
      <text>
        <r>
          <t>客户侧人手不足</t>
        </r>
      </text>
    </comment>
    <comment ref="H229" authorId="5">
      <text>
        <r>
          <t>客户侧时间推后</t>
        </r>
      </text>
    </comment>
    <comment ref="H89" authorId="6">
      <text>
        <r>
          <t>商务理解错误，以为可以推迟开启服务</t>
        </r>
      </text>
    </comment>
    <comment ref="H112" authorId="7">
      <text>
        <r>
          <t>商务拉群迟了</t>
        </r>
      </text>
    </comment>
    <comment ref="H82" authorId="8">
      <text>
        <r>
          <t>商务迟迟不拉群</t>
        </r>
      </text>
    </comment>
    <comment ref="H226" authorId="9">
      <text>
        <r>
          <t>个人用户</t>
        </r>
      </text>
    </comment>
    <comment ref="H223" authorId="10">
      <text>
        <r>
          <t>客户联系不上</t>
        </r>
      </text>
    </comment>
    <comment ref="H180" authorId="11">
      <text>
        <r>
          <t>客户陪跑退款，下单新的陪跑，没付款</t>
        </r>
      </text>
    </comment>
    <comment ref="H296" authorId="12">
      <text>
        <r>
          <t>客户侧不拉群</t>
        </r>
      </text>
    </comment>
    <comment ref="D309" authorId="13">
      <text>
        <r>
          <t>客户要更换主体签约</t>
        </r>
      </text>
    </comment>
    <comment ref="L284" authorId="14">
      <text>
        <r>
          <t>客户未回复确认权益，已催</t>
        </r>
      </text>
    </comment>
    <comment ref="H202" authorId="15">
      <text>
        <r>
          <t>个人购买，特殊情况，和销售核实中</t>
        </r>
      </text>
    </comment>
    <comment ref="H123" authorId="16">
      <text>
        <r>
          <t>客户想签A推B不允许商务协商中</t>
        </r>
      </text>
    </comment>
    <comment ref="H225" authorId="17">
      <text>
        <r>
          <t>个人用户</t>
        </r>
      </text>
    </comment>
    <comment ref="B225" authorId="18">
      <text>
        <r>
          <t>谭婷</t>
        </r>
      </text>
    </comment>
    <comment ref="H183" authorId="19">
      <text>
        <r>
          <t>客户原因推迟</t>
        </r>
      </text>
    </comment>
    <comment ref="H85" authorId="20">
      <text>
        <r>
          <t>客户原因推迟</t>
        </r>
      </text>
    </comment>
    <comment ref="H50" authorId="21">
      <text>
        <r>
          <t>客户侧出国了暂时联系不上</t>
        </r>
      </text>
    </comment>
    <comment ref="H184" authorId="22">
      <text>
        <r>
          <t>商务迟迟不拉群</t>
        </r>
      </text>
    </comment>
  </commentList>
</comments>
</file>

<file path=xl/comments3.xml><?xml version="1.0" encoding="utf-8"?>
<comments xmlns="http://schemas.openxmlformats.org/spreadsheetml/2006/main">
  <authors>
    <author>tc={F4FEBD7F-8701-4CF9-964F-6F68F6173146}</author>
    <author>tc={D67AEEB2-2D75-4D04-AF58-024BECBC54CF}</author>
    <author>tc={B6EE0486-013C-40C9-8288-C7BB559DBC97}</author>
    <author>tc={E30BD1E6-E560-4D72-911D-25151C557A73}</author>
    <author>tc={89CF1E89-D197-4E68-B67F-E320479B4912}</author>
    <author>tc={6A0CD19F-7DCE-4EB2-84FF-F4736C6AE90D}</author>
    <author>tc={A5AF61BB-4F80-4F14-B2C7-E67C9BD5E090}</author>
    <author>tc={55A9C317-CCFB-42A2-8A69-29EE3BC6072B}</author>
    <author>tc={E1594110-872F-4907-8073-658D86433E3B}</author>
    <author>tc={DEE61CE7-515A-4F70-9E27-B0B7DCF19A57}</author>
    <author>tc={D5AD5C9B-423F-4EA4-BE91-C94A8DB19455}</author>
    <author>tc={8A054177-267F-487F-9EAA-F9974F39CA00}</author>
    <author>tc={D4D4CA10-B0A0-4153-9130-5740A0A63DEF}</author>
    <author>tc={8F9B2DAE-C181-4A5C-9CFB-86F1CBB254B9}</author>
    <author>tc={009898A3-FBD9-49E8-BA9C-FBE99DD19059}</author>
    <author>tc={D7136C64-3B70-4062-AF3B-9AA4387A1563}</author>
    <author>tc={6C20F6CE-17BC-4C73-957E-28467C6E8F38}</author>
  </authors>
  <commentList>
    <comment ref="B327" authorId="0">
      <text>
        <r>
          <t>原公司名称：济南格拉斯进出口贸易有限公司</t>
        </r>
      </text>
    </comment>
    <comment ref="B283" authorId="1">
      <text>
        <r>
          <t>签A推B，
A公司：吴江君和纺织电器有限公司B公司：苏州君和技术有限公司</t>
        </r>
      </text>
    </comment>
    <comment ref="B371" authorId="2">
      <text>
        <r>
          <t>原名称：山东聊城骞昊钢材有限公司</t>
        </r>
        <r>
          <t>现名称：山东骞昊润淼进出口有限公司</t>
        </r>
      </text>
    </comment>
    <comment ref="B377" authorId="3">
      <text>
        <r>
          <t>A公司：楚辰志通（湖北）汽车销售有限公司
B公司：楚胜汽车集团有限公司</t>
        </r>
      </text>
    </comment>
    <comment ref="B445" authorId="4">
      <text>
        <r>
          <t>签A推B</t>
        </r>
        <r>
          <t>签约公司：青岛高宠宠物食品有限公司 
推广公司：青岛誉康宠物食品有限公司</t>
        </r>
      </text>
    </comment>
    <comment ref="B293" authorId="5">
      <text>
        <r>
          <t>签A推B：
A公司：山东森诺医药科技有限公司
B公司：约灵治疗实验室</t>
        </r>
      </text>
    </comment>
    <comment ref="B276" authorId="6">
      <text>
        <r>
          <t>签A推B：
A公司：合肥市瑶海区浩腾工程机械经营部
B公司：安徽浩岷工程机械有限公司</t>
        </r>
      </text>
    </comment>
    <comment ref="B178" authorId="7">
      <text>
        <r>
          <t>3月31日增购陪跑</t>
        </r>
        <r>
          <t>3月12日购买的工具</t>
        </r>
      </text>
    </comment>
    <comment ref="B38" authorId="8">
      <text>
        <r>
          <t>2月27日下单购买一个月
4月3日又下单购买一个月</t>
        </r>
      </text>
    </comment>
    <comment ref="B223" authorId="9">
      <text>
        <r>
          <t>客户已退款</t>
        </r>
        <r>
          <t>历史客成经理为：谭婷</t>
        </r>
      </text>
    </comment>
    <comment ref="B133" authorId="10">
      <text>
        <r>
          <t>A公司：广东喜安居卫浴有限公司
B公司：Great Sink LLC</t>
        </r>
      </text>
    </comment>
    <comment ref="B37" authorId="11">
      <text>
        <r>
          <t>系统名称：合肥燊智商贸有限公司</t>
        </r>
      </text>
    </comment>
    <comment ref="B72" authorId="12">
      <text>
        <r>
          <t>客户已退款，历史服务客成：谭婷</t>
        </r>
      </text>
    </comment>
    <comment ref="B121" authorId="13">
      <text>
        <r>
          <t>A公司：天津新禾国际经贸有限公司
B公司：天津新禾食品有限公司</t>
        </r>
      </text>
    </comment>
    <comment ref="F27" authorId="14">
      <text>
        <r>
          <t>重点种子客户</t>
        </r>
      </text>
    </comment>
    <comment ref="B82" authorId="15">
      <text>
        <r>
          <t>客户之前退款，后又重新下单，</t>
        </r>
      </text>
    </comment>
    <comment ref="B83" authorId="16">
      <text>
        <r>
          <t>签A推B
A公司：湖北龙瑞铝业有限公司
B公司：河南天冠铝业有限公司</t>
        </r>
      </text>
    </comment>
  </commentList>
</comments>
</file>

<file path=xl/sharedStrings.xml><?xml version="1.0" encoding="utf-8"?>
<sst xmlns="http://schemas.openxmlformats.org/spreadsheetml/2006/main" count="1715" uniqueCount="1715">
  <si>
    <t/>
  </si>
  <si>
    <t>序号</t>
  </si>
  <si>
    <t>客成序号</t>
  </si>
  <si>
    <t>购买产品</t>
  </si>
  <si>
    <t>分配日期</t>
  </si>
  <si>
    <t>分配专员</t>
  </si>
  <si>
    <t>服务开始时间</t>
  </si>
  <si>
    <t>注册完成时间</t>
  </si>
  <si>
    <t>主页装修完成时间</t>
  </si>
  <si>
    <t>账号授权绑定时间</t>
  </si>
  <si>
    <t>养号</t>
  </si>
  <si>
    <t>邯郸市扬发贸易有限公司</t>
  </si>
  <si>
    <t>埃米平台+埃米陪跑服务</t>
  </si>
  <si>
    <t>曾欢</t>
  </si>
  <si>
    <t>河北卓好科技有限公司</t>
  </si>
  <si>
    <t>埃米平台+埃米代运营服务</t>
  </si>
  <si>
    <t>张艺</t>
  </si>
  <si>
    <t>徐州沃卡重工机械有限公司</t>
  </si>
  <si>
    <t>李睿琦</t>
  </si>
  <si>
    <t>临清市星扬机械设备有限公司</t>
  </si>
  <si>
    <t>山东鸿星工程机械有限公司</t>
  </si>
  <si>
    <t>梁山铭大机械设备有限公司</t>
  </si>
  <si>
    <t>威海基尔新能源装备有限公司</t>
  </si>
  <si>
    <t>韩明伟</t>
  </si>
  <si>
    <t>平原百斯特机械工具有限公司</t>
  </si>
  <si>
    <t>永东发（廊坊）科技有限公司</t>
  </si>
  <si>
    <t>王芷娇</t>
  </si>
  <si>
    <t>聊城市金硕机电设备有限公司</t>
  </si>
  <si>
    <t>山东忠阳化工有限公司</t>
  </si>
  <si>
    <t>焜傲机器人（成都）有限公司</t>
  </si>
  <si>
    <t>武汉卓越高压测试设备有限公司</t>
  </si>
  <si>
    <t>合肥燊智工程机械有限公司</t>
  </si>
  <si>
    <t>周月静</t>
  </si>
  <si>
    <t>大连泰维精密模具股份有限公司</t>
  </si>
  <si>
    <t>海南智械云联工贸有限公司</t>
  </si>
  <si>
    <t>宋佳美</t>
  </si>
  <si>
    <t>河北生茂包装材料有限公司</t>
  </si>
  <si>
    <t>威海倚春服装有限公司</t>
  </si>
  <si>
    <t>苏州市恒协机械有限公司</t>
  </si>
  <si>
    <t>崔芳魁</t>
  </si>
  <si>
    <t>北京星光陆通视音频广播技术有限公司</t>
  </si>
  <si>
    <t>裴雪珂</t>
  </si>
  <si>
    <t>上海克础机械（集团）有限公司</t>
  </si>
  <si>
    <t>湖北宏宇专用汽车有限公司</t>
  </si>
  <si>
    <t>朱冰蕊</t>
  </si>
  <si>
    <t>苏州市圣马丁服装有限公司</t>
  </si>
  <si>
    <t>佛山市牧风科技有限公司</t>
  </si>
  <si>
    <t>北京而为科技有限公司</t>
  </si>
  <si>
    <t>董轩豪</t>
  </si>
  <si>
    <t>佛山市富琪家具有限公司</t>
  </si>
  <si>
    <t>强硕</t>
  </si>
  <si>
    <t>东莞市沃富五金制品有限公司</t>
  </si>
  <si>
    <t>湖北龙瑞铝业有限公司</t>
  </si>
  <si>
    <t>程力汽车（武汉）有限公司</t>
  </si>
  <si>
    <t>冯珍</t>
  </si>
  <si>
    <t>江阴市钟联国际贸易有限公司</t>
  </si>
  <si>
    <t>黄晓晨</t>
  </si>
  <si>
    <t>杭州赛途沃贸易有限公司</t>
  </si>
  <si>
    <t>佛山市顺德区乐从镇银满鑫家具厂</t>
  </si>
  <si>
    <t>安徽沃德刷业有限公司</t>
  </si>
  <si>
    <t>济南豪赛楼宇工程有限公司</t>
  </si>
  <si>
    <t>深圳市金亚诺电子有限公司</t>
  </si>
  <si>
    <t>深圳市莱特蒙光电科技有限公司</t>
  </si>
  <si>
    <t>佛山市长富宝佳家居用品有限公司</t>
  </si>
  <si>
    <t>山东华江汽车贸易有限公司</t>
  </si>
  <si>
    <t>深圳市龙岗区泽沐珠宝设计工作室</t>
  </si>
  <si>
    <t>天津新禾国际经贸有限公司</t>
  </si>
  <si>
    <t>武义深潮家居用品有限公司</t>
  </si>
  <si>
    <t>香河货不全商贸有限公司</t>
  </si>
  <si>
    <t>郑州金山化工有限公司</t>
  </si>
  <si>
    <t>北京市晋鹏鑫磊电气有限公司</t>
  </si>
  <si>
    <t>山东国冠金属制品有限公司</t>
  </si>
  <si>
    <t>上海净迈包装科技有限公司</t>
  </si>
  <si>
    <t>成都科达亨科技有限责任公司</t>
  </si>
  <si>
    <t>广东喜安居卫浴有限公司</t>
  </si>
  <si>
    <t>佛山市元基工业科技有限公司</t>
  </si>
  <si>
    <t>湖北碧澜天博来建筑股份有限公司</t>
  </si>
  <si>
    <t>成都蒽科科技有限公司</t>
  </si>
  <si>
    <t>广东鸿泉节能设备有限公司</t>
  </si>
  <si>
    <t>霸州市钰荣家具厂</t>
  </si>
  <si>
    <t>青岛鑫华星特钢科技有限公司</t>
  </si>
  <si>
    <t>四川弘晟石油工程技术服务有限公司</t>
  </si>
  <si>
    <t>河北雄安肯威尔贸易有限公司</t>
  </si>
  <si>
    <t>双龙集团有限公司</t>
  </si>
  <si>
    <t>浙江众兴智能科技股份有限公司</t>
  </si>
  <si>
    <t>成都良木屿汽车销售有限责任公司</t>
  </si>
  <si>
    <t>永康市精航观光车有限公司</t>
  </si>
  <si>
    <t>周俣昕</t>
  </si>
  <si>
    <t>佛山市松汇科技有限公司</t>
  </si>
  <si>
    <t>高吉</t>
  </si>
  <si>
    <t>佛山市英菲桁架器材有限公司</t>
  </si>
  <si>
    <t>北京惠丰佳业汽车销售有限公司</t>
  </si>
  <si>
    <t>佛山瑞电新能源有限公司</t>
  </si>
  <si>
    <t>河南狄鑫机械设备安装有限公司</t>
  </si>
  <si>
    <t>清远市华南铜铝业有限公司</t>
  </si>
  <si>
    <t>刘颖</t>
  </si>
  <si>
    <t>上海大蕴文化传播有限公司</t>
  </si>
  <si>
    <t>深圳市德天诚电子有限公司</t>
  </si>
  <si>
    <t>浙江盛思户外用品有限公司</t>
  </si>
  <si>
    <t>河南丰尔牧业设备有限公司</t>
  </si>
  <si>
    <t>上海金箭水射流设备制造有限公司</t>
  </si>
  <si>
    <t>威海斯茂莱柯户外运动有限公司</t>
  </si>
  <si>
    <t>山东华企国际贸易有限公司</t>
  </si>
  <si>
    <t>速帕斯（苏州）贸易有限公司</t>
  </si>
  <si>
    <t>亿将科技（广东）有限公司</t>
  </si>
  <si>
    <t>上海络华物流设备有限公司</t>
  </si>
  <si>
    <t>建德市新裕塑胶材料有限公司</t>
  </si>
  <si>
    <t>威海托罗服饰有限公司</t>
  </si>
  <si>
    <t>苏州市轻舟智能科技有限公司</t>
  </si>
  <si>
    <t>长沙普惠环保机械有限公司</t>
  </si>
  <si>
    <t>威海云海户外用品有限公司</t>
  </si>
  <si>
    <t>詹晓东（SF：429001197806307437）</t>
  </si>
  <si>
    <t>湖南泵多多科技有限公司</t>
  </si>
  <si>
    <t>佛山市顺科彩印包装有限公司</t>
  </si>
  <si>
    <t>江苏营力创电子材料有限公司</t>
  </si>
  <si>
    <t>青岛利康源医疗器械有限公司</t>
  </si>
  <si>
    <t>山东联成橡塑制品有限公司</t>
  </si>
  <si>
    <t>深圳市鑫日升机械有限公司</t>
  </si>
  <si>
    <t>义乌市稠城宗帆制笔厂</t>
  </si>
  <si>
    <t>木牛动力科技（武汉）有限公司</t>
  </si>
  <si>
    <t>武汉格美诺家居有限公司</t>
  </si>
  <si>
    <t>山东依妍服饰有限公司</t>
  </si>
  <si>
    <t>山东佰悦广告传媒有限公司</t>
  </si>
  <si>
    <t>浙江威金斯工具有限公司</t>
  </si>
  <si>
    <t>李雅童</t>
  </si>
  <si>
    <t>深圳市瑞创锂能科技有限公司</t>
  </si>
  <si>
    <t>湖南益格特钢科技有限公司</t>
  </si>
  <si>
    <t>佛山市博客家具有限公司</t>
  </si>
  <si>
    <t>江苏宏昌天马物流装备有限公司</t>
  </si>
  <si>
    <t>刘晟甫</t>
  </si>
  <si>
    <t>苏州心之力机器人有限公司</t>
  </si>
  <si>
    <t>合肥市瑶海区浩腾工程机械经营部</t>
  </si>
  <si>
    <t>韩经纬</t>
  </si>
  <si>
    <t>苏州金实纤维科技有限公司</t>
  </si>
  <si>
    <t>山东东方益成商贸有限公司</t>
  </si>
  <si>
    <t>四川易视光电科技有限公司</t>
  </si>
  <si>
    <t>安阳市双环助剂有限责任公司</t>
  </si>
  <si>
    <t>北京龙工博大机械设备有限公司</t>
  </si>
  <si>
    <t>吴江君和纺织电器有限公司</t>
  </si>
  <si>
    <t>北京满天星建材有限公司</t>
  </si>
  <si>
    <t>文安县潇迪金属制品有限公司</t>
  </si>
  <si>
    <t>东莞市华飞家具有限公司</t>
  </si>
  <si>
    <t>山东森诺医药科技有限公司</t>
  </si>
  <si>
    <t>浙江有美工贸有限公司</t>
  </si>
  <si>
    <t>东莞市广凡自动化科技有限公司</t>
  </si>
  <si>
    <t>聊城鸿升冲压配件有限公司</t>
  </si>
  <si>
    <t>苏州优顺激光装备有限公司</t>
  </si>
  <si>
    <t>中联韩创（北京）金属材料有限公司</t>
  </si>
  <si>
    <t>永康市永玛科技有限公司</t>
  </si>
  <si>
    <t>威海德宝瑞户外用品有限公司</t>
  </si>
  <si>
    <t>赛客斯（广州）餐饮设备有限公司</t>
  </si>
  <si>
    <t>佛山市亮轩智能科技有限公司</t>
  </si>
  <si>
    <t>田晓帆</t>
  </si>
  <si>
    <t>简石生物技术（北京）有限公司</t>
  </si>
  <si>
    <t>中山市古镇鑫纳精源金刚石工具厂</t>
  </si>
  <si>
    <t>袁佳慧</t>
  </si>
  <si>
    <t>武义聚利工贸有限公司</t>
  </si>
  <si>
    <t>威海杜氏复合材料有限公司</t>
  </si>
  <si>
    <t>深圳市志成达智能自动化科技有限公司</t>
  </si>
  <si>
    <t>济南格拉斯数控设备有限公司</t>
  </si>
  <si>
    <t>佛山市凯上隆装饰设计工程有限公司</t>
  </si>
  <si>
    <t>十堰军硕汽车零部件有限公司</t>
  </si>
  <si>
    <t>十堰市宇成动力有限公司</t>
  </si>
  <si>
    <t>包贺涛</t>
  </si>
  <si>
    <t>青岛海吉尔国际贸易有限公司</t>
  </si>
  <si>
    <t>广州市天河区前进顺飞机械配件经营部</t>
  </si>
  <si>
    <t>大连智鹏金属制品有限公司</t>
  </si>
  <si>
    <t>佛山市南海莱诺家具有限公司</t>
  </si>
  <si>
    <t>山东鼎途汽车科技有限公司</t>
  </si>
  <si>
    <t>平湖市太士服饰有限公司</t>
  </si>
  <si>
    <t>辽宁环明木业有限公司</t>
  </si>
  <si>
    <t>嘉兴市游漫箱包科技有限公司</t>
  </si>
  <si>
    <t>于水訢</t>
  </si>
  <si>
    <t>长沙市虢工机械设备科技有限公司</t>
  </si>
  <si>
    <t>任思静</t>
  </si>
  <si>
    <t>衡水捷筑集成房屋有限公司</t>
  </si>
  <si>
    <t>兰溪市沁芳源日化有限公司</t>
  </si>
  <si>
    <t>南通丁小墩贸易有限公司</t>
  </si>
  <si>
    <t>佛山市衍诚眼镜有限公司</t>
  </si>
  <si>
    <t>佛山市格勒热工设备制造有限公司</t>
  </si>
  <si>
    <t>杜宇</t>
  </si>
  <si>
    <t>河南省爱信液压机械设备有限公司</t>
  </si>
  <si>
    <t>山东聊城骞昊钢材有限公司</t>
  </si>
  <si>
    <t>青岛塔姆沃新材料有限公司</t>
  </si>
  <si>
    <t>湖北华耀达电气有限公司</t>
  </si>
  <si>
    <t>徐思诺</t>
  </si>
  <si>
    <t>山东皓宇工程机械有限公司</t>
  </si>
  <si>
    <t>楚辰志通（湖北）汽车销售有限公司</t>
  </si>
  <si>
    <t>缙云县刀浪车业有限公司</t>
  </si>
  <si>
    <t>深圳市百顺包装制品有限公司</t>
  </si>
  <si>
    <t>大连温特纳科技有限公司</t>
  </si>
  <si>
    <t>上海钲兴服饰有限公司</t>
  </si>
  <si>
    <t>刘继美</t>
  </si>
  <si>
    <t>北京奥信戴克商贸有限公司</t>
  </si>
  <si>
    <t>葛佳鑫</t>
  </si>
  <si>
    <t>佛山市顺德区沃金沃贸易有限公司</t>
  </si>
  <si>
    <t>山东三维商贸有限公司</t>
  </si>
  <si>
    <t>郑州市金派克机械制造有限公司</t>
  </si>
  <si>
    <t>佛山市倍领家具有限公司</t>
  </si>
  <si>
    <t>东莞市雅兴模具科技有限公司</t>
  </si>
  <si>
    <t>山东美道环保材料有限公司</t>
  </si>
  <si>
    <t>上海易壳照明股份有限公司</t>
  </si>
  <si>
    <t>河北向古新材料科技有限公司</t>
  </si>
  <si>
    <t>北京闲亭信息咨询有限公司</t>
  </si>
  <si>
    <t>深圳安威尔触控科技有限公司</t>
  </si>
  <si>
    <t>成都世纪阳光密封件有限公司</t>
  </si>
  <si>
    <t>江苏炫能输送带有限公司</t>
  </si>
  <si>
    <t>湖北松港汽车科技有限公司</t>
  </si>
  <si>
    <t>公司名称</t>
  </si>
  <si>
    <t>培训日期</t>
  </si>
  <si>
    <t>提交人</t>
  </si>
  <si>
    <t>客户参加人</t>
  </si>
  <si>
    <t>是否参加</t>
  </si>
  <si>
    <t>宁阳县琪升工贸有限公司</t>
  </si>
  <si>
    <t>2026.3.18</t>
  </si>
  <si>
    <t>刘帝</t>
  </si>
  <si>
    <t>任铭志</t>
  </si>
  <si>
    <t>是</t>
  </si>
  <si>
    <t>（多项）</t>
  </si>
  <si>
    <t>东莞市万家纸业有限公司</t>
  </si>
  <si>
    <t>Céline</t>
  </si>
  <si>
    <t>济南万顺机械制造有限公司</t>
  </si>
  <si>
    <t>吥棄（济南万顺机械制造有限公司）</t>
  </si>
  <si>
    <t>计数项：公司名称</t>
  </si>
  <si>
    <t>谭婷</t>
  </si>
  <si>
    <t>SCARLETT</t>
  </si>
  <si>
    <t>成都爱尚里里商贸有限公司</t>
  </si>
  <si>
    <t>藝</t>
  </si>
  <si>
    <t>彭才杰</t>
  </si>
  <si>
    <t>东莞市铝美铝型材有限公司</t>
  </si>
  <si>
    <t>见贤思齐</t>
  </si>
  <si>
    <t>否</t>
  </si>
  <si>
    <t>河南良晟畜牧设备有限公司</t>
  </si>
  <si>
    <t>王二二</t>
  </si>
  <si>
    <t>武卓玉</t>
  </si>
  <si>
    <t>卓越高压商务17786556561</t>
  </si>
  <si>
    <t>张楠</t>
  </si>
  <si>
    <t>瑞欧机械配件制造（山东）有限公司</t>
  </si>
  <si>
    <t>A万向 天马 沈氏 十字轴总代理</t>
  </si>
  <si>
    <t>董德隆</t>
  </si>
  <si>
    <t>大连科瑞气体有限公司</t>
  </si>
  <si>
    <t>大连科瑞-管15504266126</t>
  </si>
  <si>
    <t>李政</t>
  </si>
  <si>
    <t>威海诚义贸易有限公司</t>
  </si>
  <si>
    <t>梁建飞</t>
  </si>
  <si>
    <t>金雪</t>
  </si>
  <si>
    <t>广州众旭机电科技有限公司</t>
  </si>
  <si>
    <t>曉·🌙</t>
  </si>
  <si>
    <t>郑州方铭高温陶瓷新材料有限公司</t>
  </si>
  <si>
    <t>葛梦真 Calla</t>
  </si>
  <si>
    <t>总计</t>
  </si>
  <si>
    <t>青岛泰康和顺海绵制品有限公司</t>
  </si>
  <si>
    <t>泰山之峰</t>
  </si>
  <si>
    <t>天津泰发钢铁有限公司</t>
  </si>
  <si>
    <t>赵普、C、今天好心情、Dahila、刘</t>
  </si>
  <si>
    <t>苏州市依雯家居服饰有限公司</t>
  </si>
  <si>
    <t>Z</t>
  </si>
  <si>
    <t>佛山市兴蒂丰建材装饰有限公司</t>
  </si>
  <si>
    <t>周遇FUN、Lucy Feng</t>
  </si>
  <si>
    <t>（Mary）</t>
  </si>
  <si>
    <t>计数项：是否参加</t>
  </si>
  <si>
    <t>大连海川密封有限公司</t>
  </si>
  <si>
    <t>赵晓光</t>
  </si>
  <si>
    <t>再生天翼</t>
  </si>
  <si>
    <t>LSN</t>
  </si>
  <si>
    <t>湖北绿洲源健康科技有限公司</t>
  </si>
  <si>
    <t>Polly孙波</t>
  </si>
  <si>
    <t>愚</t>
  </si>
  <si>
    <t>湖北瑞兹威科技有限公司</t>
  </si>
  <si>
    <t>瑞兹威</t>
  </si>
  <si>
    <t>2026.4.15</t>
  </si>
  <si>
    <t>冯亦笑</t>
  </si>
  <si>
    <t>玲儿</t>
  </si>
  <si>
    <t>碧澜天-舒晓玲</t>
  </si>
  <si>
    <t>lisa.x</t>
  </si>
  <si>
    <t>Donna</t>
  </si>
  <si>
    <t>ITSCtruss</t>
  </si>
  <si>
    <t>高晴</t>
  </si>
  <si>
    <t>A张艳清货不全</t>
  </si>
  <si>
    <t>A萧</t>
  </si>
  <si>
    <t>青岛盛华隆贸易有限责任公司</t>
  </si>
  <si>
    <t>李鹏飞</t>
  </si>
  <si>
    <t>深水的鱼</t>
  </si>
  <si>
    <t>童林、Lori</t>
  </si>
  <si>
    <t>Lily(金箭水刀)</t>
  </si>
  <si>
    <t>众兴智能</t>
  </si>
  <si>
    <t>大连金河机械有限公司</t>
  </si>
  <si>
    <t>龙门RL仰望星空</t>
  </si>
  <si>
    <t>鸿星双缸液压剪 韩小宁15163737589</t>
  </si>
  <si>
    <t>长沙悦翼医疗科技有限公司</t>
  </si>
  <si>
    <t>Ö</t>
  </si>
  <si>
    <t>辽宁芯创智联电子科技有限公司</t>
  </si>
  <si>
    <t>🌻向日葵🌻15940997127</t>
  </si>
  <si>
    <t>山东鲁建装饰材料有限公司</t>
  </si>
  <si>
    <t>2026.3.20</t>
  </si>
  <si>
    <t>A铝单板加工厂家</t>
  </si>
  <si>
    <t>深圳市迎利电动门有限公司</t>
  </si>
  <si>
    <t>Automatic doors-Ella</t>
  </si>
  <si>
    <t>南阳恒诺科技有限公司</t>
  </si>
  <si>
    <t>Jerry</t>
  </si>
  <si>
    <t>梁山顺驰机械制造有限公司</t>
  </si>
  <si>
    <t>张美阳</t>
  </si>
  <si>
    <t>成都威斯特邦贸易有限公司</t>
  </si>
  <si>
    <t>胡焕英</t>
  </si>
  <si>
    <t>聊城市凯尚装饰设计工程有限公司</t>
  </si>
  <si>
    <t>Tina</t>
  </si>
  <si>
    <t>玉</t>
  </si>
  <si>
    <t>威海卡洛威机械科技有限公司</t>
  </si>
  <si>
    <t>手 可 摘 🌟 辰</t>
  </si>
  <si>
    <t>大连丰晟生物科技有限公司</t>
  </si>
  <si>
    <t>沙琦琢</t>
  </si>
  <si>
    <t>浙江新铭龙经编织物有限公司</t>
  </si>
  <si>
    <t>Mika</t>
  </si>
  <si>
    <t>日盟精密机械（大连）有限公司</t>
  </si>
  <si>
    <t>好</t>
  </si>
  <si>
    <t>弘晟石油小冯</t>
  </si>
  <si>
    <t>S&amp;L susan 13818220699</t>
  </si>
  <si>
    <t>上海明辉标签有限公司</t>
  </si>
  <si>
    <t>A.王（Cain）</t>
  </si>
  <si>
    <t>大连精铖标牌标识制作有限公司</t>
  </si>
  <si>
    <t>飞鸿踏雪泥</t>
  </si>
  <si>
    <t>swallow</t>
  </si>
  <si>
    <t>zoe</t>
  </si>
  <si>
    <t>郑州莱烁门业有限公司</t>
  </si>
  <si>
    <t>RAJ</t>
  </si>
  <si>
    <t>湖南鑫碳新材料有限公司</t>
  </si>
  <si>
    <t>Nicole-recarburizer-catalyst</t>
  </si>
  <si>
    <t>武汉欣华行家居用品有限公司</t>
  </si>
  <si>
    <t>life is an adventure</t>
  </si>
  <si>
    <t>Suzy婷婷 SOFUN</t>
  </si>
  <si>
    <t>深圳市奇丽电子商务有限公司</t>
  </si>
  <si>
    <t>Archer</t>
  </si>
  <si>
    <t>百悦 深渊镜 霓虹灯 无边字 石玉忠</t>
  </si>
  <si>
    <t>广州嫣然医疗设备科技有限公司</t>
  </si>
  <si>
    <t>2026.3.25</t>
  </si>
  <si>
    <t>张仪</t>
  </si>
  <si>
    <t>庞柳</t>
  </si>
  <si>
    <t>深圳市赛太克电子科技有限公司</t>
  </si>
  <si>
    <t>Edwards-GameAccessories</t>
  </si>
  <si>
    <t>武汉晟力达科技有限公司</t>
  </si>
  <si>
    <t>嘭</t>
  </si>
  <si>
    <t>山东亿宸机械集团有限公司</t>
  </si>
  <si>
    <t>🌵</t>
  </si>
  <si>
    <t>大连每欣科技有限公司</t>
  </si>
  <si>
    <t>姜玉华</t>
  </si>
  <si>
    <t>阿林、</t>
  </si>
  <si>
    <t>吉日门窗（大连）有限公司</t>
  </si>
  <si>
    <t>吉日门窗孙秀娥</t>
  </si>
  <si>
    <t>佛山市顺德区聚兴宏激光科技有限公司</t>
  </si>
  <si>
    <t>AAA小冉Marking machine manufactu</t>
  </si>
  <si>
    <t>有国旗的猫จุ๊บ</t>
  </si>
  <si>
    <t>青岛中邦凌电器有限公司</t>
  </si>
  <si>
    <t>Daniel15054218239</t>
  </si>
  <si>
    <t>江苏森尔美科技有限公司</t>
  </si>
  <si>
    <t>陶顺</t>
  </si>
  <si>
    <t>新乡市菲特科过滤净化技术有限公司</t>
  </si>
  <si>
    <t>Lovesky-天意</t>
  </si>
  <si>
    <t>hunter</t>
  </si>
  <si>
    <t>佛山市康晖照明有限公司</t>
  </si>
  <si>
    <t>Airboe</t>
  </si>
  <si>
    <t>双德服装展架15933360405</t>
  </si>
  <si>
    <t>卓瑞科技(大连)有限公司</t>
  </si>
  <si>
    <t>馨冉Lexi Wang</t>
  </si>
  <si>
    <t>上海姿禾展示用品有限公司</t>
  </si>
  <si>
    <t>KeKeKee</t>
  </si>
  <si>
    <t>巩义市都江机械制造有限公司</t>
  </si>
  <si>
    <t>Lisa Li</t>
  </si>
  <si>
    <t>长沙千丘刀具有限公司</t>
  </si>
  <si>
    <t>王宇</t>
  </si>
  <si>
    <t>郑州润锦机械制造有限公司</t>
  </si>
  <si>
    <t>润锦机械张俊茹</t>
  </si>
  <si>
    <t>深圳市深岩科技有限公司</t>
  </si>
  <si>
    <t>深岩科技-邓</t>
  </si>
  <si>
    <t>格韵之芯（辽宁省）办公设备科技有限公司</t>
  </si>
  <si>
    <t>2026.4.1</t>
  </si>
  <si>
    <t>月月鸟</t>
  </si>
  <si>
    <t>A铝单板加工厂家山东鲁建装饰材料</t>
  </si>
  <si>
    <t>广州市华创国际货运代理有限公司</t>
  </si>
  <si>
    <t>ja c k</t>
  </si>
  <si>
    <t>王博-红旗国悦丰田考斯特厂家定制</t>
  </si>
  <si>
    <t>Pomelo</t>
  </si>
  <si>
    <t>茉莉</t>
  </si>
  <si>
    <t>Jenny</t>
  </si>
  <si>
    <t>Simon-BSS</t>
  </si>
  <si>
    <t>河北御棠源生态农业有限公司</t>
  </si>
  <si>
    <t>御棠源外贸部孙利新15631397937</t>
  </si>
  <si>
    <t>济南亚军轴承有限公司</t>
  </si>
  <si>
    <t>YJZY Bearing</t>
  </si>
  <si>
    <t>MovoeF-028</t>
  </si>
  <si>
    <t>苏州市飞乐净化科技有限公司</t>
  </si>
  <si>
    <t>飛樂淨化</t>
  </si>
  <si>
    <t>天津祥霖昊瑞钢铁有限公司</t>
  </si>
  <si>
    <t>天津祥霖昊瑞孔令轩 13312185973</t>
  </si>
  <si>
    <t>大连日信精密模塑有限公司</t>
  </si>
  <si>
    <t>Kathy</t>
  </si>
  <si>
    <t>济宁怀邦工程机械有限公司</t>
  </si>
  <si>
    <t>Anna</t>
  </si>
  <si>
    <t>米🍀</t>
  </si>
  <si>
    <t>侯海武</t>
  </si>
  <si>
    <t>苏州华商纸业有限公司</t>
  </si>
  <si>
    <t>Mr.Angryman</t>
  </si>
  <si>
    <t>佛山市赛诺五金制品有限公司</t>
  </si>
  <si>
    <t>Daniel7772</t>
  </si>
  <si>
    <t>北京君利丰家庭用品有限公司</t>
  </si>
  <si>
    <t>ptiscof</t>
  </si>
  <si>
    <t>北京美矿航腾科技发展有限公司</t>
  </si>
  <si>
    <t>Cici(9:00-12:00;13:00-17:30)</t>
  </si>
  <si>
    <t>江阴市世铭机械科技有限公司</t>
  </si>
  <si>
    <t>꧁安꧂</t>
  </si>
  <si>
    <t>上海西辉机电科技有限公司</t>
  </si>
  <si>
    <t>Irene</t>
  </si>
  <si>
    <t>河北瑞玖包装材料有限公司</t>
  </si>
  <si>
    <t>诺凡 Alisa pouch bag</t>
  </si>
  <si>
    <t>、</t>
  </si>
  <si>
    <t>A忠阳小李</t>
  </si>
  <si>
    <t>康琪茶艺餐桌椅 张小姐13924866081</t>
  </si>
  <si>
    <t>张振</t>
  </si>
  <si>
    <t>阿鱼</t>
  </si>
  <si>
    <t>大蕴.晓璇Michelle</t>
  </si>
  <si>
    <t>steel supplier-lisa钢材供应</t>
  </si>
  <si>
    <t>广州神粤机械技术有限公司</t>
  </si>
  <si>
    <t>神粤挖机配件-刘小英18144825432</t>
  </si>
  <si>
    <t>广东亿诚智能装备有限公司</t>
  </si>
  <si>
    <t>亿诚智能装备一黎</t>
  </si>
  <si>
    <t>广东西海雨水环境技术有限公司</t>
  </si>
  <si>
    <t>依古比古</t>
  </si>
  <si>
    <t>大连烽卿贸易有限公司</t>
  </si>
  <si>
    <t>2026.4.3</t>
  </si>
  <si>
    <t>佛山市格勒热工设备制造</t>
  </si>
  <si>
    <t>楚辰志通（湖北）汽车销售</t>
  </si>
  <si>
    <t>武汉嘉润汇茗茶叶有限公司</t>
  </si>
  <si>
    <t>C浩。</t>
  </si>
  <si>
    <t>河南绿源水处理科技有限公司</t>
  </si>
  <si>
    <t>Alice</t>
  </si>
  <si>
    <t>山东谙达国际贸易有限公司</t>
  </si>
  <si>
    <t>于广飞</t>
  </si>
  <si>
    <t>河北威创新材料有限公司</t>
  </si>
  <si>
    <t>Andy</t>
  </si>
  <si>
    <t>山东路翔达车辆</t>
  </si>
  <si>
    <t>平湖市旭阳电子科技</t>
  </si>
  <si>
    <t>陈通 James T. Chen</t>
  </si>
  <si>
    <t>靳杰</t>
  </si>
  <si>
    <t>东特矿安（山东）装备有限公司</t>
  </si>
  <si>
    <t>A极道者</t>
  </si>
  <si>
    <t>青岛载利电力设备有限公司</t>
  </si>
  <si>
    <t>悟</t>
  </si>
  <si>
    <t>大连东轻金属材料有限公司</t>
  </si>
  <si>
    <t>孙景林-船用铝板</t>
  </si>
  <si>
    <t>长沙市虢工机械设备</t>
  </si>
  <si>
    <t>Lynx</t>
  </si>
  <si>
    <t>青岛沃瑞和丰国际贸易有限公司</t>
  </si>
  <si>
    <t>白家琪 Henry</t>
  </si>
  <si>
    <t>王婉萍~钲兴制服</t>
  </si>
  <si>
    <t>Neil</t>
  </si>
  <si>
    <t>阿伟</t>
  </si>
  <si>
    <t>2026.4.8</t>
  </si>
  <si>
    <t>未逝时光</t>
  </si>
  <si>
    <t>成都大宏立机器股份有限公司</t>
  </si>
  <si>
    <t>I Never Told You</t>
  </si>
  <si>
    <t>北京视远国际贸易有限公司</t>
  </si>
  <si>
    <t>Claire</t>
  </si>
  <si>
    <t>山东鸿拓智联科技有限公司</t>
  </si>
  <si>
    <t>鸿拓智联Jerry 15063713376、鸿拓智联Justin、鸿拓智联刘峰Milo Liu</t>
  </si>
  <si>
    <t>河南鸿发养殖设备有限公司</t>
  </si>
  <si>
    <t>林岫便已皓然</t>
  </si>
  <si>
    <t>深圳市万维热传导技术有限公司</t>
  </si>
  <si>
    <t>张钘堰、李谨言</t>
  </si>
  <si>
    <t>JAXI</t>
  </si>
  <si>
    <t>鑫日升自动化设备～黄仕武</t>
  </si>
  <si>
    <t>烟火起</t>
  </si>
  <si>
    <t>吴俊</t>
  </si>
  <si>
    <t>🌴</t>
  </si>
  <si>
    <t>Laura --- Polishing supplier</t>
  </si>
  <si>
    <t>雨的属性～～～</t>
  </si>
  <si>
    <t>江苏月嘉金属科技有限公司</t>
  </si>
  <si>
    <t>微凉的记忆、Emma</t>
  </si>
  <si>
    <t>海宁雷泊新材料有限公司</t>
  </si>
  <si>
    <t>稳</t>
  </si>
  <si>
    <t>湖北松港汽车科技有限公</t>
  </si>
  <si>
    <t>Cathy</t>
  </si>
  <si>
    <t>大连京华工具有限公司</t>
  </si>
  <si>
    <t>糖🍬</t>
  </si>
  <si>
    <t>美丽华华捷水墨-叶柳18057918797</t>
  </si>
  <si>
    <t>成都武侯素美医疗美容门诊部</t>
  </si>
  <si>
    <t>溢价男孩K</t>
  </si>
  <si>
    <t>威海凯怡进出口有限公司</t>
  </si>
  <si>
    <t>刘莎</t>
  </si>
  <si>
    <t>青岛万途思锐科技有限公司</t>
  </si>
  <si>
    <t>Jackie</t>
  </si>
  <si>
    <t>济南艺海激光科技</t>
  </si>
  <si>
    <t>@王丹外贸yandex社媒谷歌</t>
  </si>
  <si>
    <t>兑兑</t>
  </si>
  <si>
    <t>济南格拉斯进出口贸易有限公司</t>
  </si>
  <si>
    <t>A山东鲁玻中空玻璃设备荣明建，China-Лиза</t>
  </si>
  <si>
    <t>住电装贸易（上海）有限公司</t>
  </si>
  <si>
    <t>寂渊</t>
  </si>
  <si>
    <t>山东大信钢铁有限公司</t>
  </si>
  <si>
    <t>山东大信钢铁刘</t>
  </si>
  <si>
    <t>廊坊纽图家具有限公司</t>
  </si>
  <si>
    <t>Ivy</t>
  </si>
  <si>
    <t>青岛高宠宠物食品有限公司</t>
  </si>
  <si>
    <t>Qingdao Yukang Pet Food Co,Ltd</t>
  </si>
  <si>
    <t>_祝喻星</t>
  </si>
  <si>
    <t>马小平（SF：430524198804028231）</t>
  </si>
  <si>
    <t>正義砼商¦¦马小平</t>
  </si>
  <si>
    <t>湖北新百特自动化设备有限公司</t>
  </si>
  <si>
    <t xml:space="preserve"> Cary Xu</t>
  </si>
  <si>
    <t>湖北润科汽车装备销售有限公司</t>
  </si>
  <si>
    <t xml:space="preserve"> Louis-Special Trucks 刘义</t>
  </si>
  <si>
    <t>聊城钢正精密钢管制造有限公司</t>
  </si>
  <si>
    <t>.</t>
  </si>
  <si>
    <t>广州万亨国际物流代理有限公司</t>
  </si>
  <si>
    <t>SUMMER符辉·万亨okaytrans</t>
  </si>
  <si>
    <t>武汉墨文轩商贸有限公司</t>
  </si>
  <si>
    <t>RX工作室、RX模玩工作室</t>
  </si>
  <si>
    <t>浙江方博体育用品有限公司</t>
  </si>
  <si>
    <t>胡雪竹、Zhaoyk</t>
  </si>
  <si>
    <t>成都依服美服饰有限公司</t>
  </si>
  <si>
    <t>精典美-精品服饰、露と葉</t>
  </si>
  <si>
    <t>深圳市众益佳工贸</t>
  </si>
  <si>
    <t>一路阳光</t>
  </si>
  <si>
    <t>东莞市久泰激光智能设备</t>
  </si>
  <si>
    <t>久泰激光（何友民）</t>
  </si>
  <si>
    <t>Elaine Lainuo Furniture</t>
  </si>
  <si>
    <t>叮当狗</t>
  </si>
  <si>
    <t>阳光</t>
  </si>
  <si>
    <t xml:space="preserve">      </t>
  </si>
  <si>
    <t>退转款渠道</t>
  </si>
  <si>
    <t>订单号</t>
  </si>
  <si>
    <t>退转款类型</t>
  </si>
  <si>
    <t>退转款原因</t>
  </si>
  <si>
    <t>退转款商品</t>
  </si>
  <si>
    <t>企微</t>
  </si>
  <si>
    <t>KJ2026030367354133027</t>
  </si>
  <si>
    <t>退款</t>
  </si>
  <si>
    <t>跟客户沟通的五个社媒账号陪跑，因为当时比较着
急录单客户要扫码，以为社媒陪跑还是跟之前一
样，是7选5个账号，所以就直接选了一个多增加了
-个后，发现需要生产的时候只有两个社媒账号，
所以需要重新录单补录，把沟通的账号都重新添加
录单，</t>
  </si>
  <si>
    <t>埃米AIMI+埃米AIMI陪跑服务</t>
  </si>
  <si>
    <t>已重新录单，继续服务中</t>
  </si>
  <si>
    <t>KJ2026031184036498703</t>
  </si>
  <si>
    <t>转款</t>
  </si>
  <si>
    <t>客户诉求是需要我们社媒进行注册和陪跑两个月，但是我们这边下单必须要购买埃米工具才行给客户注册，通过和客户沟通由商务自行给客户注册社媒账号，把此单埃米陪跑改成埃米工具</t>
  </si>
  <si>
    <t>埃米AIMI陪跑服务</t>
  </si>
  <si>
    <t>业务平台</t>
  </si>
  <si>
    <t>济南鑫沃通达贸易有限公司</t>
  </si>
  <si>
    <t>KJ2026030391091106184</t>
  </si>
  <si>
    <t>济南鑫沃通达贸易有限公司购买的埃米产品，在使用过程中不满意，客户投诉严重，现申请济南鑫沃通达贸易有限公司埃米产品5988元全额退款</t>
  </si>
  <si>
    <t>埃米AIMI</t>
  </si>
  <si>
    <t>KJ2026031627282999564</t>
  </si>
  <si>
    <t>客户的想法是个人签单，但是社媒推广要公司名义，我司无法实现签A推B，商务未告知客户导致社媒陪跑服务无法生产，需要退单重新录单以公司的名义签单</t>
  </si>
  <si>
    <t>大连东宇精密机械有限公司</t>
  </si>
  <si>
    <t>KJ2026030513382720076</t>
  </si>
  <si>
    <t>客户不想要了，要求终止合作</t>
  </si>
  <si>
    <t>河间市邵普玻璃制品有限公司</t>
  </si>
  <si>
    <t>KJ2026032505594789033</t>
  </si>
  <si>
    <t>因客户想要使用app端海外社媒商务引导客户使用VPN导致客户不满，要求退款。且该客户已通过12345、黑猫投诉、拨打400客服电话、北京工商等能够投诉的渠道都进行了投诉，并且已经在法院正式立案。</t>
  </si>
  <si>
    <t>KJ2026031052052837400</t>
  </si>
  <si>
    <t>客户提出退款需求，绑定社媒封号，上传的视频不能直接发布还需要二次编辑。</t>
  </si>
  <si>
    <t>运营专员进群规则</t>
  </si>
  <si>
    <t>分配人</t>
  </si>
  <si>
    <t>区域</t>
  </si>
  <si>
    <t>对应服务号</t>
  </si>
  <si>
    <t>运营团队</t>
  </si>
  <si>
    <t>服务号</t>
  </si>
  <si>
    <t>步骤</t>
  </si>
  <si>
    <t>李姿霏</t>
  </si>
  <si>
    <t>北京</t>
  </si>
  <si>
    <t>社媒运营客服</t>
  </si>
  <si>
    <t>长沙</t>
  </si>
  <si>
    <t>社媒运营中心</t>
  </si>
  <si>
    <t>洛阳</t>
  </si>
  <si>
    <t>直接拉对应的专员</t>
  </si>
  <si>
    <t>只购买服务不够买工具，一律不支持分配客成</t>
  </si>
  <si>
    <t>购买了代运营-广告通的客户，客户如有广告通相关咨询，客成统一先联系赵娟。</t>
  </si>
  <si>
    <t>客户企业名称变更流程</t>
  </si>
  <si>
    <t>商务/客户告知企业名称变更---提交企查查截图或更名后公司营业+工商盖章更名函件 -- -客成可支持信息收集表及推广展示的是变更后的公司名称---将【分配总表】名称相应做变更并评论加上以前的名称 -- 将群名同步变更---同步交付专员</t>
  </si>
  <si>
    <t>签A推B流程</t>
  </si>
  <si>
    <t xml:space="preserve">一、总则
原则上，已购买埃米陪跑及代运营产品的客户，不支持签A推B操作。
仅在A、B两家公司存在直接关联关系，并提供完整补充资料的前提下，可提交特殊审批申请，经审批通过后方可执行。
二、关联关系认定标准
申请签A推B的客户，须满足以下任意一项关联关系条件：
1、分总公司关系：B公司为A公司依法设立的分支机构（如“中企跨境***分公司”）；
2、分子公司关系：A、B公司同属一个集团，为该集团下属的分公司或子公司；
3、子母公司关系：A、B公司之间为100%全资控股关系；
4、控股公司关系：一方直接或间接持有另一方股份达到25%以上（含25%）且为大股东（根据税法规定）；
5、同一法定代表人：A、B公司法定代表人为同一自然人。
三、需提交的资料
1、A、B双方营业执照（电子版）；
2、A、B的关联关系证明（企信网截图即可）
3、《授权推广协议》（客户签署并加盖双方公章），协议原件须按照法务的要求寄到客成部门的地址存档。
四、审批及操作流程
1、商务反馈客成评估
商务人员将客户需求反馈至客户成功经理，并说明原因，客成评估是否支持。
2、商务提供上述2项资料：
3、资料归档
协议签署完毕后，商务人员将协议原件邮寄到客成部门，由客成部门统一存档。
4、服务开启
客成经理确认审批邮件及盖章协议均已归档后，方可开启对应推广服务。
五、风险揭示
1、《授权推广协议》原件管理
协议签署后，原件须邮寄至我司法务指定地址统一存档。要求原件存档的原因为：
法律证据效力保障：在发生争议或合规审计时，加盖双方鲜章的原件是证明授权关系真实性的唯一直接证据，复印件或扫描件在法律效力上存在瑕疵。
2、关联关系真实性核验
要求客户提供双方营业执照及关联关系证明，确保需求来源于客户。
3、客户真实意愿确认
协议签署须基于客户真实业务需求，严禁销售人员或客成人员引导、暗示或代替客户准备申请材料。所有盖章文件必须由客户自行完成用印流程，我司人员不得经手客户公章或代为盖章，以规避表见代理及合同无效风险。
六、发票开具提示
1、若签约主体与付款主体一致，可向付款主体开具增值税专用发票；
2、若签约主体与付款主体不一致，仅可向付款主体开具增值税普通发票。
附：纸质文件邮寄地址：
北京市大兴区亦庄经济技术开发区地盛西路1号 B座 3层，马旭蕊：15810128132
</t>
  </si>
  <si>
    <t>《外媒账号授权声明》的签署规则</t>
  </si>
  <si>
    <t>1、凡是客户使用原有账号，不是我们帮助注册的账号都要签署(领英平台除外)。</t>
  </si>
  <si>
    <t>2、《外媒账号授权声明》要在登录客户账号前，客户必须签订完成。</t>
  </si>
  <si>
    <t>3、客户成功，负责确认声明中的主体是中企动力还是中企跨境，社媒运营专员负责发送给客户跟进客户签署</t>
  </si>
  <si>
    <t>4、客户签订&lt;&lt;外媒账号授权协议&gt;&gt;发送邮件至邮箱:sns@300.cn。</t>
  </si>
  <si>
    <t>5、客户签订完毕后，交付同步负责客成。</t>
  </si>
  <si>
    <t>‼️声明中主体的定义：哪个主体售卖的  声明中的主体就是谁，例如：中企跨境售卖的苏州市恒协，主体就是 中企跨境</t>
  </si>
  <si>
    <t>中企动力主体名称</t>
  </si>
  <si>
    <t>中企动力科技股份有限公司</t>
  </si>
  <si>
    <t>跨境主体名称</t>
  </si>
  <si>
    <t>中企动力跨境（北京）网络科技有限公司</t>
  </si>
  <si>
    <t>客户名称</t>
  </si>
  <si>
    <t>付款时间</t>
  </si>
  <si>
    <t>购买时长（月）</t>
  </si>
  <si>
    <t>任务分配日期</t>
  </si>
  <si>
    <t>客成经理</t>
  </si>
  <si>
    <t>订单编号</t>
  </si>
  <si>
    <t>产品</t>
  </si>
  <si>
    <t>工具版本</t>
  </si>
  <si>
    <t>交付产品</t>
  </si>
  <si>
    <t>工具到期日期</t>
  </si>
  <si>
    <t>信息收集完成时间</t>
  </si>
  <si>
    <t>社媒平台</t>
  </si>
  <si>
    <t>服务状态</t>
  </si>
  <si>
    <t>是否培训</t>
  </si>
  <si>
    <t>备注</t>
  </si>
  <si>
    <t>特殊情况</t>
  </si>
  <si>
    <t>客成经理名单</t>
  </si>
  <si>
    <t>服务客户量</t>
  </si>
  <si>
    <t>埃米平台+埃米代运营服务+埃米广告通</t>
  </si>
  <si>
    <t>埃米平台</t>
  </si>
  <si>
    <t>KJ2026022498043554197</t>
  </si>
  <si>
    <t>成长版</t>
  </si>
  <si>
    <t>TK, X, INS, Youtube, FB</t>
  </si>
  <si>
    <t>服务中</t>
  </si>
  <si>
    <t>2026/3/3已培训完毕</t>
  </si>
  <si>
    <t>山东万国金属制品有限公司</t>
  </si>
  <si>
    <t>KJ2026022546842686222</t>
  </si>
  <si>
    <t>2月27日15点培训完毕</t>
  </si>
  <si>
    <t>青岛盈盛达五金制品有限公司</t>
  </si>
  <si>
    <t>KJ2026022592874936213</t>
  </si>
  <si>
    <t>3月5日 14点培训</t>
  </si>
  <si>
    <t>江阴市金励诚科技有限公司</t>
  </si>
  <si>
    <t>KJ2026022547195281372</t>
  </si>
  <si>
    <t>3月4日14点培训</t>
  </si>
  <si>
    <t>KJ2026022518377057083</t>
  </si>
  <si>
    <t>2月28日 10点培训完毕</t>
  </si>
  <si>
    <t>聊城铭康金属材料有限公司</t>
  </si>
  <si>
    <t>KJ2026022535334346216</t>
  </si>
  <si>
    <t>3月2日11点培训</t>
  </si>
  <si>
    <t>湖南文盛新能源科技有限公司</t>
  </si>
  <si>
    <t>KJ2026022540694727364</t>
  </si>
  <si>
    <t>3月4日 10点培训</t>
  </si>
  <si>
    <t>威海市庆东渔具有限公司</t>
  </si>
  <si>
    <t>KJ2026022562465558535</t>
  </si>
  <si>
    <t>KJ2026022584829241980</t>
  </si>
  <si>
    <t xml:space="preserve"> FB,TK, INS</t>
  </si>
  <si>
    <t>3月3日 10点培训</t>
  </si>
  <si>
    <t>军芳复合材料科技（威海）有限公司</t>
  </si>
  <si>
    <t>KJ2026022599703483243</t>
  </si>
  <si>
    <t>已培训2次</t>
  </si>
  <si>
    <t>孙启萌</t>
  </si>
  <si>
    <t>KJ2026022526465781043</t>
  </si>
  <si>
    <t>TK, INS, Youtube, FB, X, Linkedin</t>
  </si>
  <si>
    <t>3月2日11点30点培训+下午3点</t>
  </si>
  <si>
    <t>叶佩</t>
  </si>
  <si>
    <t>KJ2026022567963250877</t>
  </si>
  <si>
    <t>林剑伟</t>
  </si>
  <si>
    <t>KJ2026022503070905587</t>
  </si>
  <si>
    <t>高级版</t>
  </si>
  <si>
    <t>TK, Youtube, FB</t>
  </si>
  <si>
    <t>4月1日预约培训</t>
  </si>
  <si>
    <t>姬玉晶</t>
  </si>
  <si>
    <t>广州弗御莱科技有限公司</t>
  </si>
  <si>
    <t>KJ2026022584300542211</t>
  </si>
  <si>
    <t>3月2日 培训完毕</t>
  </si>
  <si>
    <t>丁震</t>
  </si>
  <si>
    <t>KJ2026022581454511703</t>
  </si>
  <si>
    <t>2月27日 10点培训完毕</t>
  </si>
  <si>
    <t>马康</t>
  </si>
  <si>
    <t>KJ2026022506660952618</t>
  </si>
  <si>
    <t>张辉李</t>
  </si>
  <si>
    <t>KJ2026022613288611870</t>
  </si>
  <si>
    <t>姜一</t>
  </si>
  <si>
    <t>大连佳显电子有限公司</t>
  </si>
  <si>
    <t>KJ2026022688098476910</t>
  </si>
  <si>
    <t>2月28已培训</t>
  </si>
  <si>
    <t>吴东</t>
  </si>
  <si>
    <t>KJ2026022664167571119</t>
  </si>
  <si>
    <t>2月28下午14点培训完毕</t>
  </si>
  <si>
    <t>金星</t>
  </si>
  <si>
    <t>长松国际贸易（大连）有限公司</t>
  </si>
  <si>
    <t>KJ2026022687432633719</t>
  </si>
  <si>
    <t>3月18日参加联播</t>
  </si>
  <si>
    <t>史倩云</t>
  </si>
  <si>
    <t>珈诺生物（武汉）有限公司</t>
  </si>
  <si>
    <t>KJ2026022679280664791</t>
  </si>
  <si>
    <t>2月28培训完毕</t>
  </si>
  <si>
    <t>李嘉颖</t>
  </si>
  <si>
    <t>济南昊阳铸锻有限公司</t>
  </si>
  <si>
    <t>KJ2026022654221856124</t>
  </si>
  <si>
    <t>2月28下午16点30点培训完毕</t>
  </si>
  <si>
    <t>任晶惠</t>
  </si>
  <si>
    <t>威海市昊宇金属制品有限公司</t>
  </si>
  <si>
    <t>KJ2026022610577386848</t>
  </si>
  <si>
    <t>2月27日 16点培训完毕</t>
  </si>
  <si>
    <t>杨豪芳</t>
  </si>
  <si>
    <t>KJ2026022622130651481</t>
  </si>
  <si>
    <t>3月13日15：00已培训完毕</t>
  </si>
  <si>
    <t>桑田</t>
  </si>
  <si>
    <t>KJ2026022667244554822</t>
  </si>
  <si>
    <t>深圳市极星科技有限公司</t>
  </si>
  <si>
    <t>KJ2026022714105057311</t>
  </si>
  <si>
    <t>3月2培训完毕</t>
  </si>
  <si>
    <t>青岛腾本味食品有限公司</t>
  </si>
  <si>
    <t>KJ2026022656711821702</t>
  </si>
  <si>
    <t>3月2日下午17点</t>
  </si>
  <si>
    <t>张琪</t>
  </si>
  <si>
    <t>威海波塞冬户外用品有限公司</t>
  </si>
  <si>
    <t>KJ2026022708416506714</t>
  </si>
  <si>
    <t>3.2培训完成</t>
  </si>
  <si>
    <t>者尼文化传媒（北京）有限责任公司</t>
  </si>
  <si>
    <t>KJ2026022638689026001</t>
  </si>
  <si>
    <t>3月2日 10点培训完成</t>
  </si>
  <si>
    <t>柳详</t>
  </si>
  <si>
    <t>KJ2026022780573574355</t>
  </si>
  <si>
    <t>3.18公开课</t>
  </si>
  <si>
    <t>KJ2026022705707608135</t>
  </si>
  <si>
    <t>TK, FB</t>
  </si>
  <si>
    <t>陈俊生</t>
  </si>
  <si>
    <t>KJ2026022770053911799</t>
  </si>
  <si>
    <t>TK, FB, X, INS, Youtube</t>
  </si>
  <si>
    <t>赵娟</t>
  </si>
  <si>
    <t>东营市迈特莱汽配有限公司</t>
  </si>
  <si>
    <t>KJ2026022758390230467</t>
  </si>
  <si>
    <t>3月5日培训完毕</t>
  </si>
  <si>
    <t>江阴市冶金液压机械厂</t>
  </si>
  <si>
    <t>KJ2026022784884238546</t>
  </si>
  <si>
    <t>3月3已培训完毕</t>
  </si>
  <si>
    <t>威海尚品机械设备科技有限公司</t>
  </si>
  <si>
    <t>KJ2026022767149961731</t>
  </si>
  <si>
    <t>3月4完成培训</t>
  </si>
  <si>
    <t>商务不知道AIMI开始时间，导致老社媒还未结束，AIMI已开启，无法和客户解释，未拉群</t>
  </si>
  <si>
    <t>钱小二</t>
  </si>
  <si>
    <t>KJ2026022715666421272</t>
  </si>
  <si>
    <t>TK, X, INS, FB</t>
  </si>
  <si>
    <t>3月4已培训完毕</t>
  </si>
  <si>
    <t>霸州市腾旭国际贸易有限公司</t>
  </si>
  <si>
    <t>KJ2026022792267178521</t>
  </si>
  <si>
    <t>基础版</t>
  </si>
  <si>
    <t>2月28日培训完毕</t>
  </si>
  <si>
    <t>设计背景图</t>
  </si>
  <si>
    <t>陈波</t>
  </si>
  <si>
    <t>深圳市汇丰创新技术有限公司</t>
  </si>
  <si>
    <t>KJ2026022748975961103</t>
  </si>
  <si>
    <t>2.28培训完成</t>
  </si>
  <si>
    <t>苏晓晨</t>
  </si>
  <si>
    <t>KJ2026022674798700657</t>
  </si>
  <si>
    <t>TK, X, INS, Linkedin, FB</t>
  </si>
  <si>
    <t>2.28 3点培训完成</t>
  </si>
  <si>
    <t>葛延凤</t>
  </si>
  <si>
    <t>大连春利消防设备有限公司</t>
  </si>
  <si>
    <t>KJ2026022633314142618</t>
  </si>
  <si>
    <t>3月9已完成培训</t>
  </si>
  <si>
    <t>杨鲁栋</t>
  </si>
  <si>
    <t>武汉中岩科技股份有限公司</t>
  </si>
  <si>
    <t>KJ2026022659384715716</t>
  </si>
  <si>
    <t>商务已经培训完成</t>
  </si>
  <si>
    <t>蔡锐丹</t>
  </si>
  <si>
    <t>KJ2026022744828593584</t>
  </si>
  <si>
    <t>TK, X, INS</t>
  </si>
  <si>
    <t>3.10培训完成</t>
  </si>
  <si>
    <t>KJ2026022748565218029</t>
  </si>
  <si>
    <t xml:space="preserve"> INS, FB, Linkedin,TK, VK</t>
  </si>
  <si>
    <t>3月10日 11:00培训完成</t>
  </si>
  <si>
    <t>山东剑齿虎数控设备有限公司</t>
  </si>
  <si>
    <t>KJ2026022723466122336</t>
  </si>
  <si>
    <t>威海水悦宏科户外用品有限公司</t>
  </si>
  <si>
    <t>KJ2026022717436184335</t>
  </si>
  <si>
    <t>四川欧威尔赛思科技有限公司</t>
  </si>
  <si>
    <t>KJ2026022782768837931</t>
  </si>
  <si>
    <t>2026/3/2已培训完毕；3月20号再次培训</t>
  </si>
  <si>
    <t>佛山市豪特自动化科技有限公司</t>
  </si>
  <si>
    <t>KJ2026022703165421973</t>
  </si>
  <si>
    <t>客户出国未回商务说等客户回国后开始</t>
  </si>
  <si>
    <t>青岛泽宏锦盛商贸有限公司</t>
  </si>
  <si>
    <t>KJ2026022814710401432</t>
  </si>
  <si>
    <t>山东通祥机械科技有限公司</t>
  </si>
  <si>
    <t>KJ2026022835149343271</t>
  </si>
  <si>
    <t>3月2已培训完毕</t>
  </si>
  <si>
    <t>青岛帝森旅居车辆制造有限公司</t>
  </si>
  <si>
    <t>KJ2026022838514341641</t>
  </si>
  <si>
    <t>2026/3/2已培训完毕</t>
  </si>
  <si>
    <t>KJ2026022809368280119</t>
  </si>
  <si>
    <t>TK, INS, X, Youtube, FB</t>
  </si>
  <si>
    <t>3月3日 14点培训</t>
  </si>
  <si>
    <t>威海帝皇游艇有限公司</t>
  </si>
  <si>
    <t>KJ2026022812823358565</t>
  </si>
  <si>
    <t>3月10号培训完毕</t>
  </si>
  <si>
    <t>河北津宏玮邦化工有限公司</t>
  </si>
  <si>
    <t>KJ2026022802334477265</t>
  </si>
  <si>
    <t>湖南闪晶贸易有限公司</t>
  </si>
  <si>
    <t>KJ2026022834126320658</t>
  </si>
  <si>
    <t>3月2日 9.30培训完成</t>
  </si>
  <si>
    <t>KJ2026022891512230322</t>
  </si>
  <si>
    <t>TK, FB, X, Youtube, INS</t>
  </si>
  <si>
    <t>青岛斯科畜牧科技有限公司</t>
  </si>
  <si>
    <t>KJ2026022646419386256</t>
  </si>
  <si>
    <t>KJ2026022732230432556</t>
  </si>
  <si>
    <t>KJ2026022879140041358</t>
  </si>
  <si>
    <t>TK, X, INS, Youtube, FB, Linkedin</t>
  </si>
  <si>
    <t>湖北锦金机械电子科技有限公司</t>
  </si>
  <si>
    <t>KJ2026022815404481096</t>
  </si>
  <si>
    <t>参加3月18日联播</t>
  </si>
  <si>
    <t>延迟交付</t>
  </si>
  <si>
    <t>杭州迅影科技有限公司</t>
  </si>
  <si>
    <t>KJ2026022851407027901</t>
  </si>
  <si>
    <t>潜在客诉，客户对商务有抱怨，客户活跃度极低</t>
  </si>
  <si>
    <t>KJ2026022870765540596</t>
  </si>
  <si>
    <t xml:space="preserve"> FB,TK, Linkedin, VK</t>
  </si>
  <si>
    <t>KJ2026022883044374426</t>
  </si>
  <si>
    <t>3月4号培训</t>
  </si>
  <si>
    <t>老社媒</t>
  </si>
  <si>
    <t>KJ2026022752484397110</t>
  </si>
  <si>
    <t>3月4日 15点培训</t>
  </si>
  <si>
    <t>领智人工智能科技（威海）有限公司</t>
  </si>
  <si>
    <t>KJ2026022803671263297</t>
  </si>
  <si>
    <t>山东中联化学有限公司</t>
  </si>
  <si>
    <t>KJ2026030270232630054</t>
  </si>
  <si>
    <t>佛山市南海区粤柯创机械设备销售行</t>
  </si>
  <si>
    <t>KJ2026030277987254407</t>
  </si>
  <si>
    <t>3.3培训完成</t>
  </si>
  <si>
    <t>KJ2026022639154446430</t>
  </si>
  <si>
    <t xml:space="preserve"> X, INS, Youtube, FB,TK</t>
  </si>
  <si>
    <t>3月3日 14：00培训完成</t>
  </si>
  <si>
    <t>KJ2026030278182375324</t>
  </si>
  <si>
    <t xml:space="preserve"> FB, INS,TK</t>
  </si>
  <si>
    <t>威海帅威户外用品有限公司</t>
  </si>
  <si>
    <t>KJ2026030206011935019</t>
  </si>
  <si>
    <t>客户要更改AIMI 账号，修改成功后拉群</t>
  </si>
  <si>
    <t>KJ2026030215890987862</t>
  </si>
  <si>
    <t xml:space="preserve"> FB</t>
  </si>
  <si>
    <t>信息在旧的收集表</t>
  </si>
  <si>
    <t>3.4培训完成</t>
  </si>
  <si>
    <t>KJ2026030398497935579</t>
  </si>
  <si>
    <t xml:space="preserve"> X, FB, INS,TK, VK</t>
  </si>
  <si>
    <t>3月4日 10：00培训完成</t>
  </si>
  <si>
    <t>KJ2026030372288565115</t>
  </si>
  <si>
    <t>3月6日完成培训</t>
  </si>
  <si>
    <t>KJ2026030301813402994</t>
  </si>
  <si>
    <t>金华正邦传动有限公司</t>
  </si>
  <si>
    <t>KJ2026030383795402056</t>
  </si>
  <si>
    <t>3月6完成培训</t>
  </si>
  <si>
    <t>海宁市方圣包装材料有限公司</t>
  </si>
  <si>
    <t>KJ2026030387712441442</t>
  </si>
  <si>
    <t>嘉兴市集珵机械有限公司</t>
  </si>
  <si>
    <t>KJ2026030393658094056</t>
  </si>
  <si>
    <t>3月6日16：45培训</t>
  </si>
  <si>
    <t>广州大鲸游乐设备有限公司</t>
  </si>
  <si>
    <t>KJ2026030386192936014</t>
  </si>
  <si>
    <t>3月12培训完成</t>
  </si>
  <si>
    <t>山东铂迪兰机械有限公司</t>
  </si>
  <si>
    <t>KJ2026030322144320458</t>
  </si>
  <si>
    <t>KJ2026030383596728419</t>
  </si>
  <si>
    <t xml:space="preserve"> FB,TK, X, Youtube, INS</t>
  </si>
  <si>
    <t>KJ2026030347778421036</t>
  </si>
  <si>
    <t>3月16培训完成</t>
  </si>
  <si>
    <t>签A推B有审批邮件，审批耗时导致一直没分配运营专员</t>
  </si>
  <si>
    <t>签A推B</t>
  </si>
  <si>
    <t>KJ2026022869596905789</t>
  </si>
  <si>
    <t>TK, Youtube, FB, VK, Linkedin</t>
  </si>
  <si>
    <t>3月10培训完成</t>
  </si>
  <si>
    <t>1、群名：CLW-WH-埃米代运营服务群
2、更换过平台：最终是先行运营facebook youtube tiktok三个平台；
linkedin vk两个平台客户注册并授权后，我们再开始运营</t>
  </si>
  <si>
    <t>湖北美睦恩医疗设备有限公司</t>
  </si>
  <si>
    <t>KJ2026030200453671747</t>
  </si>
  <si>
    <t>烟台冠铭国际贸易有限公司</t>
  </si>
  <si>
    <t>KJ2026030362766360904</t>
  </si>
  <si>
    <t>3月20培训完成</t>
  </si>
  <si>
    <t>浙江能兴电气科技有限公司</t>
  </si>
  <si>
    <t>KJ2026030225913264117</t>
  </si>
  <si>
    <t>已申请延迟服务：销售误以为是随时开启服务，所以和客户约定了4、5月份再开始</t>
  </si>
  <si>
    <t>KJ2026030211205282927</t>
  </si>
  <si>
    <t>销售以为是随时开启服务，所以和客户约定在4、5月份再开始。经过和客户沟通后 客户还是坚持4、5月份再对接，暂时不拉群</t>
  </si>
  <si>
    <t>北京电科能创技术有限公司天津分公司</t>
  </si>
  <si>
    <t>KJ2026030478733003420</t>
  </si>
  <si>
    <t>3月11日培训</t>
  </si>
  <si>
    <t>陪跑服务-tk fb ins</t>
  </si>
  <si>
    <t>德州道行机械有限公司</t>
  </si>
  <si>
    <t>KJ2026030493318516286</t>
  </si>
  <si>
    <t>3月11日三点半培训</t>
  </si>
  <si>
    <t>大连现代玻璃钢船艇有限公司</t>
  </si>
  <si>
    <t>KJ2026022706675686366</t>
  </si>
  <si>
    <t>江阴市金光化纤有限公司</t>
  </si>
  <si>
    <t>KJ2026030496691058749</t>
  </si>
  <si>
    <t>客户很忙，说他到时候联系我</t>
  </si>
  <si>
    <t>浙江展用工贸有限公司</t>
  </si>
  <si>
    <t>KJ2026030267452445715</t>
  </si>
  <si>
    <t>3.12培训完成</t>
  </si>
  <si>
    <t>KJ2026030573714427620</t>
  </si>
  <si>
    <t>3月12日 10：00培训完成</t>
  </si>
  <si>
    <t>桐乡市飞琥科技有限公司</t>
  </si>
  <si>
    <t>KJ2026030582018055491</t>
  </si>
  <si>
    <t>3.6培训完成</t>
  </si>
  <si>
    <t>威海皓富机械设备有限公司</t>
  </si>
  <si>
    <t>KJ2026030584765860251</t>
  </si>
  <si>
    <t>3月6日 13.30完成培训</t>
  </si>
  <si>
    <t>KJ2026030462216061490</t>
  </si>
  <si>
    <t xml:space="preserve"> FB,TK, INS, X, Youtube</t>
  </si>
  <si>
    <t>广州艾鲁思机械设备有限公司</t>
  </si>
  <si>
    <t>KJ2026030500403661248</t>
  </si>
  <si>
    <t>3月6号培训完毕</t>
  </si>
  <si>
    <t>成都智诚筛网有限公司</t>
  </si>
  <si>
    <t>KJ2026030542825485992</t>
  </si>
  <si>
    <t>金华它族宠物用品有限公司</t>
  </si>
  <si>
    <t>KJ2026030366141191067</t>
  </si>
  <si>
    <t>3月6日 11：00完成培训</t>
  </si>
  <si>
    <t>KJ2026030548303698475</t>
  </si>
  <si>
    <t xml:space="preserve"> FB, X,TK, INS, Youtube</t>
  </si>
  <si>
    <t>3月10日10：00完成培训</t>
  </si>
  <si>
    <t>KJ2026030533660611827</t>
  </si>
  <si>
    <t>山东英豪国际贸易有限公司</t>
  </si>
  <si>
    <t>KJ2026030552520734775</t>
  </si>
  <si>
    <t>3月19培训完成</t>
  </si>
  <si>
    <t>KJ2026030503747277943</t>
  </si>
  <si>
    <t>TK, FB, INS</t>
  </si>
  <si>
    <t>3月18号培训</t>
  </si>
  <si>
    <t>浙江凯优科技有限公司</t>
  </si>
  <si>
    <t>KJ2026030555996923903</t>
  </si>
  <si>
    <t>东莞市悦创体育用品有限公司</t>
  </si>
  <si>
    <t>KJ2026030488338873427</t>
  </si>
  <si>
    <t>WhatsApp托管已完成</t>
  </si>
  <si>
    <t>3月6日 15：00完成培训</t>
  </si>
  <si>
    <t>江阴六环合金线有限公司</t>
  </si>
  <si>
    <t>KJ2026030603784705598</t>
  </si>
  <si>
    <t>3月25与4月1公开课</t>
  </si>
  <si>
    <t>KJ2026030434465132881</t>
  </si>
  <si>
    <t>TK, INS, Youtube, FB, X</t>
  </si>
  <si>
    <t>江阴市金辉玻璃工艺品有限公司</t>
  </si>
  <si>
    <t>KJ2026030674897680626</t>
  </si>
  <si>
    <t>KJ2026030603426560946</t>
  </si>
  <si>
    <t>KJ2026030609788430710</t>
  </si>
  <si>
    <t>3.18培训完成</t>
  </si>
  <si>
    <t>KJ2026030659687165706</t>
  </si>
  <si>
    <t xml:space="preserve"> FB, INS,TK, Youtube</t>
  </si>
  <si>
    <t>3月9号培训</t>
  </si>
  <si>
    <t>KJ2026030682927816449</t>
  </si>
  <si>
    <t>4.3培训完成</t>
  </si>
  <si>
    <t>江阴市高胜金属制品有限公司</t>
  </si>
  <si>
    <t>KJ2026030696745217629</t>
  </si>
  <si>
    <t>KJ2026030694881338195</t>
  </si>
  <si>
    <t>KJ2026030614231814947</t>
  </si>
  <si>
    <t>大连维美家庭用品有限公司</t>
  </si>
  <si>
    <t>KJ2026030610670617316</t>
  </si>
  <si>
    <t>3.11培训完成</t>
  </si>
  <si>
    <t>KJ2026030431198578117</t>
  </si>
  <si>
    <t>KJ2026030860191474060</t>
  </si>
  <si>
    <t>3.20公开课</t>
  </si>
  <si>
    <t>商务一直推迟，不拉群，且表示客户在外面出差，顾不上，一直她在跟进且保证不会投诉，在跟进中</t>
  </si>
  <si>
    <t>KJ2026030624437518856</t>
  </si>
  <si>
    <t>签A推B有审批邮件</t>
  </si>
  <si>
    <t>无锡索为运动用品有限公司</t>
  </si>
  <si>
    <t>KJ2026030652925308159</t>
  </si>
  <si>
    <t>KJ2026030660003099876</t>
  </si>
  <si>
    <t>TK, INS, Youtube, FB, Linkedin</t>
  </si>
  <si>
    <t>3月10日 14：00培训完成</t>
  </si>
  <si>
    <t>KJ2026030690793966463</t>
  </si>
  <si>
    <t>TK, INS, FB, X, Youtube, VK, Linkedin</t>
  </si>
  <si>
    <t>3.20培训完成</t>
  </si>
  <si>
    <t>株洲天恒硬质合金工具有限公司</t>
  </si>
  <si>
    <t>KJ2026030686174952657</t>
  </si>
  <si>
    <t>客户说后续都是商务给他操作</t>
  </si>
  <si>
    <t>KJ2026030655646863488</t>
  </si>
  <si>
    <t>出差没时间</t>
  </si>
  <si>
    <t>KJ2026030945044299024</t>
  </si>
  <si>
    <t>3月17培训完成</t>
  </si>
  <si>
    <t>KJ2026030917451018988</t>
  </si>
  <si>
    <t>TK,X,INS,Youtube,FB</t>
  </si>
  <si>
    <t>常熟市吉宏汽车电子科技有限公司</t>
  </si>
  <si>
    <t>KJ2026030989733100014</t>
  </si>
  <si>
    <t>KJ2026030635185897026</t>
  </si>
  <si>
    <t xml:space="preserve"> FB, INS, Linkedin</t>
  </si>
  <si>
    <t>KJ2026030985295621600</t>
  </si>
  <si>
    <t>KJ2026030928190978182</t>
  </si>
  <si>
    <t>KJ2026031006139645501</t>
  </si>
  <si>
    <t>3.16培训完成</t>
  </si>
  <si>
    <t>KJ2026031087401865053</t>
  </si>
  <si>
    <t>3月16日 11：00培训</t>
  </si>
  <si>
    <t xml:space="preserve"> </t>
  </si>
  <si>
    <t>青岛鑫铭硕户外用品有限责任公司</t>
  </si>
  <si>
    <t>KJ2026030592795108098</t>
  </si>
  <si>
    <t>KJ2026031093467711931</t>
  </si>
  <si>
    <t xml:space="preserve"> FB,TK</t>
  </si>
  <si>
    <t>3.18日公开课</t>
  </si>
  <si>
    <t>麦歌智能科技（武汉）有限公司</t>
  </si>
  <si>
    <t>KJ2026030992863041360</t>
  </si>
  <si>
    <t>深圳市佰兴达科技有限公司</t>
  </si>
  <si>
    <t>KJ2026030434737024927</t>
  </si>
  <si>
    <t>KJ2026030966718456635</t>
  </si>
  <si>
    <t>3月12日 11：00培训完成</t>
  </si>
  <si>
    <t>KJ2026031045966232087</t>
  </si>
  <si>
    <t>星耀游艇（大连）有限公司</t>
  </si>
  <si>
    <t>KJ2026030993505395932</t>
  </si>
  <si>
    <t>3月12号培训完毕</t>
  </si>
  <si>
    <t>KJ2026031184970507029</t>
  </si>
  <si>
    <t>KJ2026031128951324863</t>
  </si>
  <si>
    <t>KJ2026031108642720673</t>
  </si>
  <si>
    <t>天津开瑞柏尔环保科技有限公司</t>
  </si>
  <si>
    <t>KJ2026031146076047625</t>
  </si>
  <si>
    <t>客户想自己研究</t>
  </si>
  <si>
    <t>KJ2026031154953689695</t>
  </si>
  <si>
    <t>KJ2026031185128287056</t>
  </si>
  <si>
    <t>迪姆森国际贸易（山东）有限公司</t>
  </si>
  <si>
    <t>KJ2026030859155330764</t>
  </si>
  <si>
    <t>四川精思博睿园艺工程有限公司</t>
  </si>
  <si>
    <t>KJ2026031195848235465</t>
  </si>
  <si>
    <t>3月13日10：00</t>
  </si>
  <si>
    <t>深圳西大仪器有限公司</t>
  </si>
  <si>
    <t>KJ2026030665635788790</t>
  </si>
  <si>
    <t>青岛润原金属制品有限公司</t>
  </si>
  <si>
    <t>KJ2026030468231728235</t>
  </si>
  <si>
    <t>山东圣玛顿家居用品有限公司</t>
  </si>
  <si>
    <t>KJ2026031238026969328</t>
  </si>
  <si>
    <t>新扬工业科技（大连）有限公司</t>
  </si>
  <si>
    <t>KJ2026031256823197510</t>
  </si>
  <si>
    <t>3月16日培训</t>
  </si>
  <si>
    <t>山东杨润化工有限公司</t>
  </si>
  <si>
    <t>KJ2026031235684877936</t>
  </si>
  <si>
    <t>3月16日14：00</t>
  </si>
  <si>
    <t>山东冉升金属制品有限公司</t>
  </si>
  <si>
    <t>KJ2026031250429332445</t>
  </si>
  <si>
    <t>3月16完成培训</t>
  </si>
  <si>
    <t>KJ2026031055710890407</t>
  </si>
  <si>
    <t xml:space="preserve"> X, Youtube, FB, Linkedin</t>
  </si>
  <si>
    <t>大连集合家具有限公司</t>
  </si>
  <si>
    <t>KJ2026031169828388094</t>
  </si>
  <si>
    <t>KJ2026031257408718789</t>
  </si>
  <si>
    <t>TK, INS, FB</t>
  </si>
  <si>
    <t>河南神海重工科技有限公司</t>
  </si>
  <si>
    <t>KJ2026031289233802820</t>
  </si>
  <si>
    <t>KJ2026031177638111762</t>
  </si>
  <si>
    <t>深圳市冠联通信技术有限公司</t>
  </si>
  <si>
    <t>KJ2026030521015890316</t>
  </si>
  <si>
    <t>KJ2026031281487819349</t>
  </si>
  <si>
    <t xml:space="preserve"> FB,TK, Youtube, Linkedin, VK</t>
  </si>
  <si>
    <t>3月16日 14：00培训</t>
  </si>
  <si>
    <t>北京东杰视讯科技有限公司</t>
  </si>
  <si>
    <t>KJ2026031219787228249</t>
  </si>
  <si>
    <t>KJ2026022767733088535</t>
  </si>
  <si>
    <t>佛山市威诺冷冻设备有限公司</t>
  </si>
  <si>
    <t>KJ2026031306572116655</t>
  </si>
  <si>
    <t>3.26完成培训</t>
  </si>
  <si>
    <t>KJ2026031303029425998</t>
  </si>
  <si>
    <t>TK, X, INS, Youtube, FB, VK</t>
  </si>
  <si>
    <t>KJ2026031397326405173</t>
  </si>
  <si>
    <t>佛山市南海爱邦贸易有限公司</t>
  </si>
  <si>
    <t>KJ2026031308106211204</t>
  </si>
  <si>
    <t>KJ2026031377883738326</t>
  </si>
  <si>
    <t>TK, X, Youtube, FB, INS</t>
  </si>
  <si>
    <t>KJ2026031310997719962</t>
  </si>
  <si>
    <t xml:space="preserve">  </t>
  </si>
  <si>
    <t>KJ2026031259541047732</t>
  </si>
  <si>
    <t>KJ2026031338882806155</t>
  </si>
  <si>
    <t>TK, X, INS, FB, Youtube</t>
  </si>
  <si>
    <t>3月20日参加联播</t>
  </si>
  <si>
    <t>KJ2026031122600688154</t>
  </si>
  <si>
    <t>深圳市光元科技有限公司</t>
  </si>
  <si>
    <t>KJ2026030441373613869</t>
  </si>
  <si>
    <t>KJ2026031292042494409</t>
  </si>
  <si>
    <t>4.1公开课</t>
  </si>
  <si>
    <t>KJ2026031209100418727</t>
  </si>
  <si>
    <t>KJ2026031244622963234</t>
  </si>
  <si>
    <t>KJ2026031272009553344</t>
  </si>
  <si>
    <t>锖铄（客户现在陪跑在退款，现在没心思听培训）</t>
  </si>
  <si>
    <t>KJ2026031457358637603</t>
  </si>
  <si>
    <t>KJ2026031354589699862</t>
  </si>
  <si>
    <t>杭州皇轩商贸有限公司</t>
  </si>
  <si>
    <t>KJ2026031309803584607</t>
  </si>
  <si>
    <t>3.23培训完成</t>
  </si>
  <si>
    <t>商务一直没拉群，说要等客户的社媒注册好，再拉群</t>
  </si>
  <si>
    <t>KJ2026031385843779297</t>
  </si>
  <si>
    <t>商务说要建网站了再拉群</t>
  </si>
  <si>
    <t>KJ2026031339288328869</t>
  </si>
  <si>
    <t>TK, Youtube, FB, VK</t>
  </si>
  <si>
    <t>河南省德谷食品有限公司</t>
  </si>
  <si>
    <t>KJ2026031305309229100</t>
  </si>
  <si>
    <t>群名：德谷食品</t>
  </si>
  <si>
    <t>KJ2026031329021236553</t>
  </si>
  <si>
    <t>丽水市恒力自动化技术有限公司</t>
  </si>
  <si>
    <t>KJ2026031368502364109</t>
  </si>
  <si>
    <t>蚂蚁运维（北京）科技服务有限公司</t>
  </si>
  <si>
    <t>KJ2026031394124552800</t>
  </si>
  <si>
    <t>KJ2026031345194834605</t>
  </si>
  <si>
    <t>宁波君诚工艺品有限公司</t>
  </si>
  <si>
    <t>KJ2026031322224609692</t>
  </si>
  <si>
    <t>3月16号培训完毕</t>
  </si>
  <si>
    <t>KJ2026031309979410389</t>
  </si>
  <si>
    <t>青岛俏颜丝发制品有限公司</t>
  </si>
  <si>
    <t>KJ2026031362358709770</t>
  </si>
  <si>
    <t>4月1日参加培训</t>
  </si>
  <si>
    <t>KJ2026031334967895541</t>
  </si>
  <si>
    <t>Facebook平台封号，暂时不能注册</t>
  </si>
  <si>
    <t>KJ2026030979455862117</t>
  </si>
  <si>
    <t>KJ2026031362917198236</t>
  </si>
  <si>
    <t>天津骏亿豪科技有限公司</t>
  </si>
  <si>
    <t>KJ2026031398465159986</t>
  </si>
  <si>
    <t>3.25公开课</t>
  </si>
  <si>
    <t>辛格林电梯有限公司</t>
  </si>
  <si>
    <t>KJ2026031369123738494</t>
  </si>
  <si>
    <t>KJ2026031363551324563</t>
  </si>
  <si>
    <t>郑州市凯贝特互感器有限公司</t>
  </si>
  <si>
    <t>KJ2026031357100363716</t>
  </si>
  <si>
    <t>李宝刚（SF：372426198009265118）</t>
  </si>
  <si>
    <t>KJ2026031351199434026</t>
  </si>
  <si>
    <t>KJ2026031467368853951</t>
  </si>
  <si>
    <t>WhatsApp未托管</t>
  </si>
  <si>
    <t>KJ2026031656398525605</t>
  </si>
  <si>
    <t>山东铄奕产业有限公司</t>
  </si>
  <si>
    <t>KJ2026031629492028766</t>
  </si>
  <si>
    <t>要等负责人进群再培训</t>
  </si>
  <si>
    <t>KJ2026031381029500230</t>
  </si>
  <si>
    <t>TK, X, INS, Youtube, FB, VK, Linkedin</t>
  </si>
  <si>
    <t>KJ2026031611219934414</t>
  </si>
  <si>
    <t xml:space="preserve"> Youtube, FB,TK, X, INS</t>
  </si>
  <si>
    <t>KJ2026031687434791074</t>
  </si>
  <si>
    <t>KJ2026031217978449652</t>
  </si>
  <si>
    <t>KJ2026031698642502365</t>
  </si>
  <si>
    <t>KJ2026031636274633287</t>
  </si>
  <si>
    <t>KJ2026031307250787034</t>
  </si>
  <si>
    <t>济南槐荫美信汽车配件经销处</t>
  </si>
  <si>
    <t>KJ2026031769992708142</t>
  </si>
  <si>
    <t>KJ2026031682622876397</t>
  </si>
  <si>
    <t xml:space="preserve"> X, INS, FB,TK, VK</t>
  </si>
  <si>
    <t>KJ2026031797395869445</t>
  </si>
  <si>
    <t xml:space="preserve"> FB,TK, Youtube, X, VK</t>
  </si>
  <si>
    <t>3.18公开课+3.27完成培训</t>
  </si>
  <si>
    <t>KJ2026031778522157223</t>
  </si>
  <si>
    <t>KJ2026031166291184976</t>
  </si>
  <si>
    <t>广州小童耀游乐设备有限公司</t>
  </si>
  <si>
    <t>KJ2026031790526824043</t>
  </si>
  <si>
    <t>3月30培训完成</t>
  </si>
  <si>
    <t>KJ2026031737811210917</t>
  </si>
  <si>
    <t xml:space="preserve"> FB,TK, INS, Linkedin</t>
  </si>
  <si>
    <t>KJ2026031617256092240</t>
  </si>
  <si>
    <t>客户要等网站搭建上线才启动服务</t>
  </si>
  <si>
    <t>KJ2026031633503892360</t>
  </si>
  <si>
    <t>KJ2026031654507463223</t>
  </si>
  <si>
    <t>平台已申请延时</t>
  </si>
  <si>
    <t>厦门洛布茨国际贸易有限公司</t>
  </si>
  <si>
    <t>KJ2026031797636698987</t>
  </si>
  <si>
    <t>电话无人接听，申请wx好友未通过</t>
  </si>
  <si>
    <t>KJ2026031712234177678</t>
  </si>
  <si>
    <t>3.25集体培训</t>
  </si>
  <si>
    <t>不支持签A推B（已退款）</t>
  </si>
  <si>
    <t>李红英（SF：362527198806273946）</t>
  </si>
  <si>
    <t>KJ2026031688854044468</t>
  </si>
  <si>
    <t>KJ2026031395402442835</t>
  </si>
  <si>
    <t>3.20集体培训</t>
  </si>
  <si>
    <t>KJ2026031295739957009</t>
  </si>
  <si>
    <t xml:space="preserve"> INS, Youtube, FB, Linkedin,TK</t>
  </si>
  <si>
    <t>3月25日培训完毕</t>
  </si>
  <si>
    <t>KJ2026031855776751301</t>
  </si>
  <si>
    <t>已联合商务多次沟通，客户失联</t>
  </si>
  <si>
    <t>KJ2026031781938109806</t>
  </si>
  <si>
    <t>KJ2026031720598077799</t>
  </si>
  <si>
    <t>tk、ins、X、youtube、FB</t>
  </si>
  <si>
    <t>KJ2026031724509297841</t>
  </si>
  <si>
    <t>KJ2026031202198766620</t>
  </si>
  <si>
    <t>3.31 13:30培训</t>
  </si>
  <si>
    <t>KJ2026031800552597706</t>
  </si>
  <si>
    <t>KJ2026031850455166548</t>
  </si>
  <si>
    <t>3.26 9:40培训</t>
  </si>
  <si>
    <t>KJ2026031826957530026</t>
  </si>
  <si>
    <t>4.8公开课</t>
  </si>
  <si>
    <t>KJ2026031844645636691</t>
  </si>
  <si>
    <t>TK, FB, Youtube, INS, VK</t>
  </si>
  <si>
    <t>4.9培训完成</t>
  </si>
  <si>
    <t>KJ2026031763616186756</t>
  </si>
  <si>
    <t>TK, INS, Youtube, FB, VK</t>
  </si>
  <si>
    <t>石家庄点亮进出口贸易有限公司</t>
  </si>
  <si>
    <t>KJ2026031875579964483</t>
  </si>
  <si>
    <t>3.19的14点已培训</t>
  </si>
  <si>
    <t>KJ2026031857376609688</t>
  </si>
  <si>
    <t>群名山东华玛特钢铁</t>
  </si>
  <si>
    <t>KJ2026031897737688352</t>
  </si>
  <si>
    <t>KJ2026031818993364687</t>
  </si>
  <si>
    <t>预计3.25参加培训</t>
  </si>
  <si>
    <t>KJ2026031865443092875</t>
  </si>
  <si>
    <t>客户不需要</t>
  </si>
  <si>
    <t>KJ2026031883344434512</t>
  </si>
  <si>
    <t>TK</t>
  </si>
  <si>
    <t>3月20日培训完毕</t>
  </si>
  <si>
    <t>KJ2026031823950844675</t>
  </si>
  <si>
    <t>东莞市汶乐实业有限公司</t>
  </si>
  <si>
    <t>KJ2026031871088054712</t>
  </si>
  <si>
    <t>WhatsApp未托管，客户先不培训</t>
  </si>
  <si>
    <t>湖南永成钢结构工程有限公司</t>
  </si>
  <si>
    <t>KJ2026031890136856726</t>
  </si>
  <si>
    <t>KJ2026031817129473581</t>
  </si>
  <si>
    <t>青岛宇浩供应链有限公司</t>
  </si>
  <si>
    <t>KJ2026031979734984082</t>
  </si>
  <si>
    <t>3.23的14:40培训</t>
  </si>
  <si>
    <t>KJ2026031986173673166</t>
  </si>
  <si>
    <t>INS FB TikTok YouTube X</t>
  </si>
  <si>
    <t>KJ2026031857260001598</t>
  </si>
  <si>
    <t>山东鑫方鑫金属材料有限公司</t>
  </si>
  <si>
    <t>KJ2026031961364209042</t>
  </si>
  <si>
    <t>KJ2026031974789615535</t>
  </si>
  <si>
    <t>3.20培训</t>
  </si>
  <si>
    <t>KJ2026031807678556718</t>
  </si>
  <si>
    <t>沧州拓胜激光机械设备制造有限公司</t>
  </si>
  <si>
    <t>KJ2026032010660797932</t>
  </si>
  <si>
    <t>客户要网站做好以后再开始用aimi</t>
  </si>
  <si>
    <t>深圳市瑞克斯电子科技有限公司</t>
  </si>
  <si>
    <t>KJ2026031968415144147</t>
  </si>
  <si>
    <t>3月20号培训完毕</t>
  </si>
  <si>
    <t>KJ2026031715848985760</t>
  </si>
  <si>
    <t>KJ2026031936552272680</t>
  </si>
  <si>
    <t>3月25公开课</t>
  </si>
  <si>
    <t>大连联合高分子材料有限公司</t>
  </si>
  <si>
    <t>KJ2026031913712867691</t>
  </si>
  <si>
    <t>KJ2026032096314701406</t>
  </si>
  <si>
    <t>KJ2026032011415100533</t>
  </si>
  <si>
    <t>KJ2026032034352385244</t>
  </si>
  <si>
    <t>KJ2026032048784783984</t>
  </si>
  <si>
    <t>大连爱得思新材料有限公司</t>
  </si>
  <si>
    <t>KJ2026032040842105181</t>
  </si>
  <si>
    <t>群名：寰誉&amp;大连爱得思</t>
  </si>
  <si>
    <t>金恒猫砂（辽宁）宠物用品有限公司</t>
  </si>
  <si>
    <t>KJ2026032022758162460</t>
  </si>
  <si>
    <t>KJ2026031915995572541</t>
  </si>
  <si>
    <t>深圳市科航科技发展有限公司</t>
  </si>
  <si>
    <t>KJ2026030566669205523</t>
  </si>
  <si>
    <t>3月24号培训完毕</t>
  </si>
  <si>
    <t>KJ2026032086235215977</t>
  </si>
  <si>
    <t xml:space="preserve"> VK, Youtube, FB,TK, Linkedin</t>
  </si>
  <si>
    <t>KJ2026031820750497311</t>
  </si>
  <si>
    <t>KJ2026032287322338684</t>
  </si>
  <si>
    <t>TK、X、INS、Youtube、FB</t>
  </si>
  <si>
    <t>KJ2026032003407632085</t>
  </si>
  <si>
    <t>TK,INS,youtube,FB,领英</t>
  </si>
  <si>
    <t>领英已绑定</t>
  </si>
  <si>
    <t>江阴市吉丰铝业有限公司</t>
  </si>
  <si>
    <t>KJ2026032059280884717</t>
  </si>
  <si>
    <t>商务代客户运营</t>
  </si>
  <si>
    <t>商务答应帮客户运营，目前客户那边无人负责埃米，和商务保持沟通中</t>
  </si>
  <si>
    <t>KJ2026032068977250384</t>
  </si>
  <si>
    <t>KJ2026032173602378733</t>
  </si>
  <si>
    <t>KJ2026032318291346383</t>
  </si>
  <si>
    <t>TK, X, Youtube, FB</t>
  </si>
  <si>
    <t>4.3集体培训</t>
  </si>
  <si>
    <t>KJ2026032369108024194</t>
  </si>
  <si>
    <t>KJ2026032392840367980</t>
  </si>
  <si>
    <t>4月15公开课</t>
  </si>
  <si>
    <t>4月7日分--签A推B已通过</t>
  </si>
  <si>
    <t>KJ2026032362138042274</t>
  </si>
  <si>
    <t>TK, FB, Youtube, INS, X</t>
  </si>
  <si>
    <t>东莞市冠速模型科技有限公司</t>
  </si>
  <si>
    <t>KJ2026032387555220049</t>
  </si>
  <si>
    <t>KJ2026032305392591371</t>
  </si>
  <si>
    <t xml:space="preserve"> FB, INS, Linkedin,TK, Youtube, VK</t>
  </si>
  <si>
    <t>KJ2026032171892394634</t>
  </si>
  <si>
    <t>TK,X,INS,Youtube,FB,VK,LinKedin</t>
  </si>
  <si>
    <t>KJ2026032373988613543</t>
  </si>
  <si>
    <t xml:space="preserve"> FB,TK, Youtube, X, Linkedin</t>
  </si>
  <si>
    <t>KJ2026032336754274224</t>
  </si>
  <si>
    <t xml:space="preserve">KJ2026032373053374314
</t>
  </si>
  <si>
    <t xml:space="preserve"> Youtube, FB,TK</t>
  </si>
  <si>
    <t>KJ2026032084699285944</t>
  </si>
  <si>
    <t>KJ2026032425823948789</t>
  </si>
  <si>
    <t>KJ2026032454928827034</t>
  </si>
  <si>
    <t>TK,X,Youtube,FB,VK</t>
  </si>
  <si>
    <t>4.1集体培训</t>
  </si>
  <si>
    <t>KJ2026032478978457675</t>
  </si>
  <si>
    <t>TK,INS,FB</t>
  </si>
  <si>
    <t>KJ2026032363206964702</t>
  </si>
  <si>
    <t>KJ2026032400250462423</t>
  </si>
  <si>
    <t>KJ2026032492360894028</t>
  </si>
  <si>
    <t>KJ2026031846730420222</t>
  </si>
  <si>
    <t>浙江博马装饰材料有限公司</t>
  </si>
  <si>
    <t>KJ2026032411468075357</t>
  </si>
  <si>
    <t>KJ2026032560741996134</t>
  </si>
  <si>
    <t>客户要求等交付的时候再培训</t>
  </si>
  <si>
    <t>KJ2026032564115526347</t>
  </si>
  <si>
    <t>KJ2026032502298702839</t>
  </si>
  <si>
    <t>投诉客户</t>
  </si>
  <si>
    <t>无锡金斯通建材有限公司</t>
  </si>
  <si>
    <t>KJ2026032505048749536</t>
  </si>
  <si>
    <t>4.9 10:00培训</t>
  </si>
  <si>
    <t>KJ2026032520860971289</t>
  </si>
  <si>
    <t>TK,Youtube,FB,VK,LinKedin（仅支持已有账号授权）</t>
  </si>
  <si>
    <t>预约4.8培训</t>
  </si>
  <si>
    <t>领英账号已经注册好了</t>
  </si>
  <si>
    <t>KJ2026032511156488546</t>
  </si>
  <si>
    <t>山东岚德工程机械有限公司</t>
  </si>
  <si>
    <t>KJ2026032565494693029</t>
  </si>
  <si>
    <t>3.27 早上10:30培训</t>
  </si>
  <si>
    <t>KJ2026032401304313665</t>
  </si>
  <si>
    <t>TK, FB, INS, X, VK</t>
  </si>
  <si>
    <t>KJ2026032471049557129</t>
  </si>
  <si>
    <t>KJ2026032099547068681</t>
  </si>
  <si>
    <t>tk</t>
  </si>
  <si>
    <t>北京瑞景衡机电设备有限公司</t>
  </si>
  <si>
    <t>KJ2026030994741657077</t>
  </si>
  <si>
    <t>北京中伟国际电子商务有限公司</t>
  </si>
  <si>
    <t xml:space="preserve">KJ2026032598340405411
</t>
  </si>
  <si>
    <t>3.30 14:00培训了</t>
  </si>
  <si>
    <t>KJ2026032349057458348</t>
  </si>
  <si>
    <t>武汉后浪汽车服务有限公司</t>
  </si>
  <si>
    <t xml:space="preserve">KJ2026032629685015683
</t>
  </si>
  <si>
    <t>客户要更换主体，重新签约</t>
  </si>
  <si>
    <t xml:space="preserve">KJ2026031819424931909
</t>
  </si>
  <si>
    <t>TK, FB, INS, VK, Youtube</t>
  </si>
  <si>
    <t>KJ2026032689718279458</t>
  </si>
  <si>
    <t xml:space="preserve">KJ2026032608905968452
</t>
  </si>
  <si>
    <t>TK,INS,Youtube,FB,LinKedin（仅支持已有账号授权）</t>
  </si>
  <si>
    <t>预约4.3集体培训</t>
  </si>
  <si>
    <t>领英客户注册好了</t>
  </si>
  <si>
    <t>KJ2026031921402099129</t>
  </si>
  <si>
    <t>TK, FB, INS, X, Youtube</t>
  </si>
  <si>
    <t>预约4月3日参加培训</t>
  </si>
  <si>
    <t>河南环众供水材料有限公司</t>
  </si>
  <si>
    <t xml:space="preserve">KJ2026032418161070329
</t>
  </si>
  <si>
    <t>KJ2026032598427899268</t>
  </si>
  <si>
    <t>威海德信包装科技有限公司</t>
  </si>
  <si>
    <t>KJ2026032695929515056</t>
  </si>
  <si>
    <t>KJ2026032674612449647</t>
  </si>
  <si>
    <t>KJ2026032711175459045</t>
  </si>
  <si>
    <t>KJ2026032435610060839</t>
  </si>
  <si>
    <t>TK,X,FB,INS</t>
  </si>
  <si>
    <t>天津猿马地毯有限公司</t>
  </si>
  <si>
    <t>KJ2026032767963005433</t>
  </si>
  <si>
    <t>KJ2026032758826424732</t>
  </si>
  <si>
    <t>KJ2026032762700801832</t>
  </si>
  <si>
    <t>TK、INS、Youtube、FB、LinKedin（仅支持已有账号授权）</t>
  </si>
  <si>
    <t>KJ2026032796818511148</t>
  </si>
  <si>
    <t>KJ2026032754339068581</t>
  </si>
  <si>
    <t>KJ2026030564529322537</t>
  </si>
  <si>
    <t>KJ2026032680920810895</t>
  </si>
  <si>
    <t>KJ2026032040749678241</t>
  </si>
  <si>
    <t>山东金固新材料有限公司</t>
  </si>
  <si>
    <t>KJ2026033055166095949</t>
  </si>
  <si>
    <t>客户现在不参加培训，商务反馈客户不知道现在埃米已经开通了，这个我在群里确认权益已经提示了</t>
  </si>
  <si>
    <t>KJ2026032818820577701</t>
  </si>
  <si>
    <t>预约4.15培训</t>
  </si>
  <si>
    <t>KJ2026033031629992438</t>
  </si>
  <si>
    <t>4月3公开课</t>
  </si>
  <si>
    <t>运营专员需要女生，做珠宝行业</t>
  </si>
  <si>
    <t>山东氿洲特种防护科技有限公司</t>
  </si>
  <si>
    <t>KJ2026032748964384576</t>
  </si>
  <si>
    <t>KJ2026032718799794395</t>
  </si>
  <si>
    <t>多次催促客户，客户目前比较忙</t>
  </si>
  <si>
    <t>KJ2026032779754061746</t>
  </si>
  <si>
    <t>济宁康推机电设备有限公司</t>
  </si>
  <si>
    <t>KJ2026033019286610330</t>
  </si>
  <si>
    <t>2026.3.30 17:30培训</t>
  </si>
  <si>
    <t>KJ2026032767514100100</t>
  </si>
  <si>
    <t>4.3公开课</t>
  </si>
  <si>
    <t>KJ2026033003297415927</t>
  </si>
  <si>
    <t>KJ2026033070352933308</t>
  </si>
  <si>
    <t>河北洪洁国际贸易有限公司</t>
  </si>
  <si>
    <t>KJ2026033026753540965</t>
  </si>
  <si>
    <t>商务说要等客户这边注册好社媒账号以后再拉群，现在客户没有社媒账号也用不了</t>
  </si>
  <si>
    <t>KJ2026033090258377119</t>
  </si>
  <si>
    <t>TK,X,Youtube,FB,LinKedin</t>
  </si>
  <si>
    <t>领英注册完毕</t>
  </si>
  <si>
    <t>KJ2026033059720318346</t>
  </si>
  <si>
    <t>深圳市永嘉鑫礼品工艺厂</t>
  </si>
  <si>
    <t>KJ2026032774725215037</t>
  </si>
  <si>
    <t>4月1公开课</t>
  </si>
  <si>
    <t>帅战将（东莞）体育用品有限公司</t>
  </si>
  <si>
    <t>KJ2026032727003077084</t>
  </si>
  <si>
    <t>嘉兴市禾动医疗科技有限公司</t>
  </si>
  <si>
    <t>KJ2026032764346243725</t>
  </si>
  <si>
    <t>KJ2026032550375229935</t>
  </si>
  <si>
    <t>KJ2026033169846554856</t>
  </si>
  <si>
    <t>4.1公开课+培训</t>
  </si>
  <si>
    <t>KJ2026033117964138432</t>
  </si>
  <si>
    <t>KJ2026033162977597128</t>
  </si>
  <si>
    <t>客户等陪跑交付再培训</t>
  </si>
  <si>
    <t>KJ2026033150785967921</t>
  </si>
  <si>
    <t>TikTok，Ins、YouTube、vk、Facebook</t>
  </si>
  <si>
    <t>KJ2026033101456473714</t>
  </si>
  <si>
    <t>聊城市昊顺通金属材料有限公司</t>
  </si>
  <si>
    <t>KJ2026033002436436242</t>
  </si>
  <si>
    <t>大连同悦机械有限公司</t>
  </si>
  <si>
    <t>KJ2026031744597866919</t>
  </si>
  <si>
    <t>已申请延期服务</t>
  </si>
  <si>
    <t>KJ2026031676458513516</t>
  </si>
  <si>
    <t>tiktok，ins，x，youtube，facebook</t>
  </si>
  <si>
    <t>东莞市米巢家具有限公司</t>
  </si>
  <si>
    <t>KJ2026033104922649953</t>
  </si>
  <si>
    <t>KJ2026032749961468694</t>
  </si>
  <si>
    <t>KJ2026033144321387327</t>
  </si>
  <si>
    <t>KJ2026033146968197534</t>
  </si>
  <si>
    <t>KJ2026033168793681407</t>
  </si>
  <si>
    <t>KJ2026033138301635093</t>
  </si>
  <si>
    <t>4.8培训</t>
  </si>
  <si>
    <t>2026/4/1老社媒</t>
  </si>
  <si>
    <t>KJ2026033118151106296</t>
  </si>
  <si>
    <t>tk、ins、X、youtube、facebook</t>
  </si>
  <si>
    <t>大连美硕装饰建材有限公司</t>
  </si>
  <si>
    <t>KJ2026032789185649214</t>
  </si>
  <si>
    <t>KJ2026032792513956219</t>
  </si>
  <si>
    <t xml:space="preserve"> FB, Youtube,TK</t>
  </si>
  <si>
    <t>嘉兴彩乐气模制品有限公司</t>
  </si>
  <si>
    <t>KJ2026033132538111179</t>
  </si>
  <si>
    <t>鄂重装备科技（湖北）有限公司</t>
  </si>
  <si>
    <t>KJ2026031770237669927</t>
  </si>
  <si>
    <t>江阴迅捷快速成型科技有限公司</t>
  </si>
  <si>
    <t>KJ2026033133141758274</t>
  </si>
  <si>
    <t>--</t>
  </si>
  <si>
    <t>上午反馈客户要求所有平台注册完成后， 拉群</t>
  </si>
  <si>
    <t>KJ2026033109920142982</t>
  </si>
  <si>
    <t>预约4月8日参加培训</t>
  </si>
  <si>
    <t>KJ2026033186799527497</t>
  </si>
  <si>
    <t>KJ2026033174460170560</t>
  </si>
  <si>
    <t>TK, FB, Youtube, INS</t>
  </si>
  <si>
    <t>KJ2026033120555597569</t>
  </si>
  <si>
    <t>KJ2026033152007638570</t>
  </si>
  <si>
    <t>FB、INS、TK、YouTube 、X</t>
  </si>
  <si>
    <t>上海市仪器仪表学会</t>
  </si>
  <si>
    <t>KJ2026033171292926528</t>
  </si>
  <si>
    <t>客户这段时间在外边出差，要4月13这周后拉群</t>
  </si>
  <si>
    <t>KJ2026033190828832733</t>
  </si>
  <si>
    <t>4.1日已培训</t>
  </si>
  <si>
    <t>KJ2026033178216859290</t>
  </si>
  <si>
    <t>TK, INS, Youtube, X, FB</t>
  </si>
  <si>
    <t>KJ2026033193898865716</t>
  </si>
  <si>
    <t>4月8公开课</t>
  </si>
  <si>
    <t>原名：山东聊城骞昊钢材有限公司</t>
  </si>
  <si>
    <t>KJ2026033112328593871</t>
  </si>
  <si>
    <t>KJ2026033118570423563</t>
  </si>
  <si>
    <t>成都祥宇芯鑫科技有限公司</t>
  </si>
  <si>
    <t>KJ2026033107724641566</t>
  </si>
  <si>
    <t>KJ2026033137404354392</t>
  </si>
  <si>
    <t>TK,X,INS,FB</t>
  </si>
  <si>
    <t>KJ2026033127739374574</t>
  </si>
  <si>
    <t>KJ2026033115851852560</t>
  </si>
  <si>
    <t xml:space="preserve">TK、X、INS、Youtube、FB </t>
  </si>
  <si>
    <t>KJ2026033169644492248</t>
  </si>
  <si>
    <t>KJ2026033105863377901</t>
  </si>
  <si>
    <t>TK,X,Youtube,FB,LinKedin（仅支持已有账号授权）</t>
  </si>
  <si>
    <t>领英注册催促多次</t>
  </si>
  <si>
    <t>KJ2026033167024155326</t>
  </si>
  <si>
    <t>4.1培训</t>
  </si>
  <si>
    <t>KJ2026033120720591633</t>
  </si>
  <si>
    <t>KJ2026033147289832687</t>
  </si>
  <si>
    <t>客户节后再选择陪跑平台</t>
  </si>
  <si>
    <t>山东佳途专用车制造有限公司</t>
  </si>
  <si>
    <t>KJ2026033198745846007</t>
  </si>
  <si>
    <t>KJ2026033190367370383</t>
  </si>
  <si>
    <t>Youtube,FB,LinKedin（仅支持已有账号授权）</t>
  </si>
  <si>
    <t>4.3培训</t>
  </si>
  <si>
    <t>KJ2026033156662423565</t>
  </si>
  <si>
    <t>购买6个平台，客户目前只想做5个，VK申请延期，已发邮件</t>
  </si>
  <si>
    <t>KJ2026033103489135794</t>
  </si>
  <si>
    <t>KJ2026033016671354704</t>
  </si>
  <si>
    <t>延迟服务</t>
  </si>
  <si>
    <t>KJ2026033099712146510</t>
  </si>
  <si>
    <t xml:space="preserve">客户侧要求暂时不拉群 </t>
  </si>
  <si>
    <t>苏州市维斯康进出口有限公司</t>
  </si>
  <si>
    <t>KJ2026033027618229617</t>
  </si>
  <si>
    <t>KJ2026033093767188967</t>
  </si>
  <si>
    <t>上海得韬物流设备有限公司</t>
  </si>
  <si>
    <t>KJ2026033028817601243</t>
  </si>
  <si>
    <t>KJ2026032831511228434</t>
  </si>
  <si>
    <t>KJ2026040112403614188</t>
  </si>
  <si>
    <t>平湖市旭阳电子科技有限公司</t>
  </si>
  <si>
    <t>KJ2026040135876976767</t>
  </si>
  <si>
    <t>东莞市云联电线科技有限公司</t>
  </si>
  <si>
    <t>KJ2026040147217775991</t>
  </si>
  <si>
    <t>客户4月份暂时不参加培训</t>
  </si>
  <si>
    <t>KJ2026040227076608586</t>
  </si>
  <si>
    <t>KJ2026040275615153904</t>
  </si>
  <si>
    <t>广东良研冷暖设备科技有限公司</t>
  </si>
  <si>
    <t>KJ2026040107873335511</t>
  </si>
  <si>
    <t>KJ2026040294251596272</t>
  </si>
  <si>
    <t>杭州千骏轴承有限公司</t>
  </si>
  <si>
    <t>KJ2026040296125498082</t>
  </si>
  <si>
    <t>杭州锐擎科技有限公司</t>
  </si>
  <si>
    <t>KJ2026040202029640499</t>
  </si>
  <si>
    <t>广州湘长泵业科技有限公司</t>
  </si>
  <si>
    <t>KJ2026040241235275880</t>
  </si>
  <si>
    <t>江苏同悦气体系统有限公司</t>
  </si>
  <si>
    <t>KJ2026040218148271535</t>
  </si>
  <si>
    <t>深圳市蓝海华腾技术股份有限公司</t>
  </si>
  <si>
    <t>KJ2026040258989578683</t>
  </si>
  <si>
    <t>4.3 15:00培训</t>
  </si>
  <si>
    <t>KJ2026040279677771129</t>
  </si>
  <si>
    <t>KJ2026040239384001111</t>
  </si>
  <si>
    <t>KJ2026032439652992397</t>
  </si>
  <si>
    <t>TK,X,INS,FB,LinKedin（仅支持已有账号授权）</t>
  </si>
  <si>
    <t>客户已经创建好了，但是账号需要等待认证</t>
  </si>
  <si>
    <t>KJ2026040280315303585</t>
  </si>
  <si>
    <t>广东名盾保安集团有限公司</t>
  </si>
  <si>
    <t>KJ2026040270851182354</t>
  </si>
  <si>
    <t>客户自己看视频学习</t>
  </si>
  <si>
    <t>上海三奇服饰有限公司</t>
  </si>
  <si>
    <t>KJ2026040242690919031</t>
  </si>
  <si>
    <t>青岛东方嘉睿国际贸易有限公司</t>
  </si>
  <si>
    <t>KJ2026040370471475628</t>
  </si>
  <si>
    <t>KJ2026033190100477325</t>
  </si>
  <si>
    <t>KJ2026040343567662743</t>
  </si>
  <si>
    <t>青岛凯高贸易有限公司</t>
  </si>
  <si>
    <t>KJ2026040355667863264</t>
  </si>
  <si>
    <t>商务反馈客户要延时计费</t>
  </si>
  <si>
    <t>KJ2026040352965915869</t>
  </si>
  <si>
    <t>威海中豪气动液压有限公司</t>
  </si>
  <si>
    <t>KJ2026040354159528098</t>
  </si>
  <si>
    <t>上海晅昱进出口有限公司</t>
  </si>
  <si>
    <t>KJ2026040384436694559</t>
  </si>
  <si>
    <t>佛山市艾可医疗器械有限公司</t>
  </si>
  <si>
    <t>KJ2026040346432677936</t>
  </si>
  <si>
    <t>商务去申请延迟交付</t>
  </si>
  <si>
    <t>东莞市冠胜机械设备有限公司</t>
  </si>
  <si>
    <t>KJ2026040340167543029</t>
  </si>
  <si>
    <t>江苏浩业纤维科技有限公司</t>
  </si>
  <si>
    <t>KJ2026040356780777614</t>
  </si>
  <si>
    <t>KJ2026040356943717154</t>
  </si>
  <si>
    <t>2026年4月8日已培训完成</t>
  </si>
  <si>
    <t>KJ2026040127942638605</t>
  </si>
  <si>
    <t>KJ2026040380032384902</t>
  </si>
  <si>
    <t>KJ2026040326910103634</t>
  </si>
  <si>
    <t>KJ2026040388252972115</t>
  </si>
  <si>
    <t>青岛巨亿智能科技设备有限公司</t>
  </si>
  <si>
    <t>KJ2026040183409972818</t>
  </si>
  <si>
    <t>大连晨阳金属品制造有限公司</t>
  </si>
  <si>
    <t>KJ2026040710372697003</t>
  </si>
  <si>
    <t>KJ2026040729407532970</t>
  </si>
  <si>
    <t>TK、vk、INS、Youtube、FB</t>
  </si>
  <si>
    <t>江阴华辉空调机械配件有限公司</t>
  </si>
  <si>
    <t>KJ2026040706839210389</t>
  </si>
  <si>
    <t>东莞卡特威机械科技有限公司</t>
  </si>
  <si>
    <t>KJ2026031655997385485</t>
  </si>
  <si>
    <t>KJ2026040748339469792</t>
  </si>
  <si>
    <t>KJ2026040753513934675</t>
  </si>
  <si>
    <t>新乡市艾科进出口有限公司</t>
  </si>
  <si>
    <t>KJ2026040730943636649</t>
  </si>
  <si>
    <t>已申请延期</t>
  </si>
  <si>
    <t>KJ2026040771951644177</t>
  </si>
  <si>
    <t>KJ2026040765040812975</t>
  </si>
  <si>
    <t xml:space="preserve"> FB,TK, INS, VK</t>
  </si>
  <si>
    <t>KJ2026040710179479800</t>
  </si>
  <si>
    <t>TK、Youtube、FB、INS、领英</t>
  </si>
  <si>
    <t>海口美丽的墙科技有限公司</t>
  </si>
  <si>
    <t>KJ2026040138157124382</t>
  </si>
  <si>
    <t>KJ2026040805172812707</t>
  </si>
  <si>
    <t>KJ2026040829142515646</t>
  </si>
  <si>
    <t>湖南中创资环科技有限公司</t>
  </si>
  <si>
    <t>KJ2026040864547196304</t>
  </si>
  <si>
    <t>成都武侯素美医疗美容门诊部有限公司</t>
  </si>
  <si>
    <t>KJ2026040702473656327</t>
  </si>
  <si>
    <t>预约4月15日参加培训</t>
  </si>
  <si>
    <t>长沙庆达电气有限公司</t>
  </si>
  <si>
    <t xml:space="preserve">KJ2026033159846281407
</t>
  </si>
  <si>
    <t>惠尔隆国际贸易（成都）有限公司</t>
  </si>
  <si>
    <t>KJ2026040777394036364</t>
  </si>
  <si>
    <t>TK, X, VK, Youtube, INS</t>
  </si>
  <si>
    <t>KJ2026040930163925106</t>
  </si>
  <si>
    <t>KJ2026040903450077311</t>
  </si>
  <si>
    <t>广州松达电机有限公司</t>
  </si>
  <si>
    <t>KJ2026040955502154278</t>
  </si>
  <si>
    <t>青岛恩思机械科技有限公司</t>
  </si>
  <si>
    <t>KJ2026040932733201651</t>
  </si>
  <si>
    <t>KJ2026040938929239727</t>
  </si>
  <si>
    <t>佛山市诺一燃控科技有限公司</t>
  </si>
  <si>
    <t>KJ2026040933346671358</t>
  </si>
  <si>
    <t>嘉兴泛函贸易有限公司</t>
  </si>
  <si>
    <t>KJ2026041035083872789</t>
  </si>
  <si>
    <t>KJ2026040913442393093</t>
  </si>
  <si>
    <t xml:space="preserve">TK、X、INS、Youtube、FB
</t>
  </si>
  <si>
    <t>KJ2026041066662204307</t>
  </si>
  <si>
    <t>济南艺海激光科技有限公司</t>
  </si>
  <si>
    <t>KJ2026041021659675904</t>
  </si>
  <si>
    <t>KJ2026041093025383623</t>
  </si>
  <si>
    <t>郑州永康机电设备有限公司</t>
  </si>
  <si>
    <t>KJ2026041059145506044</t>
  </si>
  <si>
    <t>佛山市焱钢金属有限公司</t>
  </si>
  <si>
    <t>KJ2026041196396020448</t>
  </si>
  <si>
    <t>KJ2026041087829947255</t>
  </si>
  <si>
    <t>济南奔跑者汽配有限公司</t>
  </si>
  <si>
    <t>KJ2026041036267674742</t>
  </si>
  <si>
    <t>河北三龙起重机械有限公司</t>
  </si>
  <si>
    <t>KJ2026041016669921855</t>
  </si>
  <si>
    <t>KJ2026041011496281355</t>
  </si>
  <si>
    <t>KJ2026041317295771340</t>
  </si>
  <si>
    <t>INS, VK，Youtube，X</t>
  </si>
  <si>
    <t>威海威驰渔具有限公司</t>
  </si>
  <si>
    <t>KJ2026041388418173248</t>
  </si>
  <si>
    <t>东莞恒义新材料科技有限公司</t>
  </si>
  <si>
    <t>KJ2026040978589284896</t>
  </si>
  <si>
    <t>武义县安博医疗器械制造有限公司</t>
  </si>
  <si>
    <t>KJ2026041055871850455</t>
  </si>
  <si>
    <t>广州驰龙实业有限公司</t>
  </si>
  <si>
    <t>KJ2026041391738064944</t>
  </si>
  <si>
    <t xml:space="preserve">YouTube,  Facebook, tiktok, Instagram, VK
</t>
  </si>
  <si>
    <t>东莞市久泰激光智能设备有限公司</t>
  </si>
  <si>
    <t>KJ2026041329985446564</t>
  </si>
  <si>
    <t>东莞展麒电子有限公司</t>
  </si>
  <si>
    <t>KJ2026041396491364550</t>
  </si>
  <si>
    <t>深圳市众益佳工贸有限公司</t>
  </si>
  <si>
    <t>KJ2026041318417531997</t>
  </si>
  <si>
    <t>威海华娟纺织有限公司</t>
  </si>
  <si>
    <t>KJ2026041384404043726</t>
  </si>
  <si>
    <t>江阴华美光电科技有限公司</t>
  </si>
  <si>
    <t>KJ2026041321233052028</t>
  </si>
  <si>
    <t>海口铭城进出口有限公司</t>
  </si>
  <si>
    <t>KJ2026041315934260517</t>
  </si>
  <si>
    <t>北京丰达国际贸易有限公司</t>
  </si>
  <si>
    <t>KJ2026041376057746670</t>
  </si>
  <si>
    <t>青岛骁威机械有限公司</t>
  </si>
  <si>
    <t>KJ2026041050294334463</t>
  </si>
  <si>
    <t>天圣环保工程（成都）有限公司</t>
  </si>
  <si>
    <t>KJ2026040344751806017</t>
  </si>
  <si>
    <t>广州巨亿服饰有限公司</t>
  </si>
  <si>
    <t>KJ2026041401199074130</t>
  </si>
  <si>
    <t>产品类型</t>
  </si>
  <si>
    <t>信息完成收集时间</t>
  </si>
  <si>
    <t>平台类型</t>
  </si>
  <si>
    <t>签单时间</t>
  </si>
  <si>
    <t>客成</t>
  </si>
  <si>
    <t>超时预警</t>
  </si>
  <si>
    <t>上线是否超时</t>
  </si>
  <si>
    <t>交付预警</t>
  </si>
  <si>
    <t>未超时</t>
  </si>
  <si>
    <t>3月24日上午11点</t>
  </si>
  <si>
    <t>fb被封</t>
  </si>
  <si>
    <t>签单公司名称：合肥燊智商贸有限公司</t>
  </si>
  <si>
    <t>3月25日上午</t>
  </si>
  <si>
    <t>老社媒，裴雪珂服务中</t>
  </si>
  <si>
    <t>客户内部人员调整，需要等新的市场经理入职。</t>
  </si>
  <si>
    <t>注册装修中</t>
  </si>
  <si>
    <t>超时</t>
  </si>
  <si>
    <t>客户确认授权申请延迟</t>
  </si>
  <si>
    <t>签A推B
A公司：湖北龙瑞铝业有限公司
B公司：河南天冠铝业有限公司</t>
  </si>
  <si>
    <t>客户侧迟迟未回复</t>
  </si>
  <si>
    <t>签A推B：
A公司：天津新禾国际经贸有限公司
B公司：天津新禾食品有限公司</t>
  </si>
  <si>
    <t>客户确认授权时间延迟</t>
  </si>
  <si>
    <t>签A推B：
A公司：广东喜安居卫浴有限公司
B公司：Great Sink LLC</t>
  </si>
  <si>
    <t>["https://wdcdn.qpic.cn/MTY4ODg1NjI5NTY2NzY5OA_583603_OWqkESOXKLcKXy0O_1773133853?w=1162&amp;h=335",400,115.3184165232358]</t>
  </si>
  <si>
    <t>3月31日下午</t>
  </si>
  <si>
    <t>3月25日下午</t>
  </si>
  <si>
    <t>注册岗位人员变动，需要内部交接</t>
  </si>
  <si>
    <t>客户资料提供超时</t>
  </si>
  <si>
    <t>注册岗人员变动，facebook封控严重</t>
  </si>
  <si>
    <t>3月26日下午
信息收集表客户填错，修改成ins  youtube  fb  领英  tk</t>
  </si>
  <si>
    <t>Facebook风控严重</t>
  </si>
  <si>
    <t>fb公共主页在申请</t>
  </si>
  <si>
    <t>加急</t>
  </si>
  <si>
    <t>3月27日下午</t>
  </si>
  <si>
    <t>fb封控严重</t>
  </si>
  <si>
    <t>fb公共主页再申请</t>
  </si>
  <si>
    <t>签A推B：
A公司：合肥市瑶海区浩腾工程机械经营部
B公司：安徽浩岷工程机械有限公司</t>
  </si>
  <si>
    <t>3月23日下午</t>
  </si>
  <si>
    <t>3月24日下午</t>
  </si>
  <si>
    <t>签A推B，
A公司：吴江君和纺织电器有限公司B公司：苏州君和技术有限公司</t>
  </si>
  <si>
    <t>3月26日上午</t>
  </si>
  <si>
    <t>25日下午加急</t>
  </si>
  <si>
    <t>Facebook风控严重，未注册成功</t>
  </si>
  <si>
    <t>签A推B：
A公司：山东森诺医药科技有限公司
B公司：约灵治疗实验室</t>
  </si>
  <si>
    <t>3月30日下午</t>
  </si>
  <si>
    <t>3月26日下午</t>
  </si>
  <si>
    <t>谷歌邮箱被封了，除了FB和YT都授权了</t>
  </si>
  <si>
    <t xml:space="preserve">                            </t>
  </si>
  <si>
    <t>4月1日下午，看4月1日新填写的那一行</t>
  </si>
  <si>
    <t>4月2日上午</t>
  </si>
  <si>
    <t>3月30日上午</t>
  </si>
  <si>
    <t>4月1日下午</t>
  </si>
  <si>
    <t>授权中</t>
  </si>
  <si>
    <t>Facebook暂时封号严重未注册</t>
  </si>
  <si>
    <t>3月30日上午，加急</t>
  </si>
  <si>
    <t>客户珠宝行业，要求运营专员为女生</t>
  </si>
  <si>
    <t xml:space="preserve">4.14   领英注册好了 </t>
  </si>
  <si>
    <t>客户收集表选的是4个，其实是5个，以此表平台为准</t>
  </si>
  <si>
    <t>4月1日下午加急</t>
  </si>
  <si>
    <t>4月2日下午</t>
  </si>
  <si>
    <t>4月1日下午，老社媒：李睿琦在服务</t>
  </si>
  <si>
    <t>@李姿霏</t>
  </si>
  <si>
    <t>4月13日上午
企业更名了：更名后叫：山东骞昊润淼进出口有限公司</t>
  </si>
  <si>
    <t>4月14日上午，加急</t>
  </si>
  <si>
    <t>签A推B：
A公司：楚辰志通（湖北）汽车销售有限公司
B公司：楚胜汽车集团有限公司</t>
  </si>
  <si>
    <t>客户买了6个平台，先做5个，已申请VK延期， 尽量李睿琪团队</t>
  </si>
  <si>
    <t>4月7日下午</t>
  </si>
  <si>
    <t xml:space="preserve">
加急
签A推B：已审批通过
签约公司：青岛高宠宠物食品有限公司
推广公司：青岛誉康宠物食品有限公司</t>
  </si>
  <si>
    <t>投诉日期</t>
  </si>
  <si>
    <t>投诉主体</t>
  </si>
  <si>
    <t>渠道来源</t>
  </si>
  <si>
    <t>性质</t>
  </si>
  <si>
    <t>客诉类型</t>
  </si>
  <si>
    <t>投诉内容描述</t>
  </si>
  <si>
    <t>处理状态</t>
  </si>
  <si>
    <t>处理人</t>
  </si>
  <si>
    <t>处理时间</t>
  </si>
  <si>
    <t>补充截图</t>
  </si>
  <si>
    <t>产品功能</t>
  </si>
  <si>
    <t>企微群</t>
  </si>
  <si>
    <t>客诉</t>
  </si>
  <si>
    <t>产品客诉</t>
  </si>
  <si>
    <t>12个月，成长版，埃米AIMI
a. AI 视频内容生成质量差，完全不能使用
b. 图片和内容生成质量较低，AI 生成图片和内容不匹配，且内容中 AI 痕迹明显
c. 无法通过统一指令对内容、图片、视频进行描述后生成结果
d. ai给出排期时，也默认制定了不同平台的发布频次，但按ai发布频次的规划，客户的曝光效果大幅降低，客户质疑ai并未结合平台给出对的解决方案</t>
  </si>
  <si>
    <t>12个月，成长版，埃米AIMI
a.   生成内容和文本无关联，无法使用
b.   直接发送给社媒平台的图片与 iME 通过 API 接口发送的图片格式不一致，客户对图片的加工成本过高</t>
  </si>
  <si>
    <t>潜在客诉</t>
  </si>
  <si>
    <t>12个月，成长版，埃米AIMI
图片和文字不一致，客户反馈无法使用</t>
  </si>
  <si>
    <t>江苏营力创电子材料有限公司（武卓玉）</t>
  </si>
  <si>
    <t>交叉营销</t>
  </si>
  <si>
    <t>陪跑，已下订单</t>
  </si>
  <si>
    <t>威海托罗服饰有限公司（武卓玉）</t>
  </si>
  <si>
    <t>独立站</t>
  </si>
  <si>
    <t>12个月，成长版，埃米AIMI
图片和文字不一致，生成的视频直接改变上传图片的细节，客户原话“驴唇不对马嘴，跟傻子似的，你这个东西弄进去啥也不是，”，客户解码信息填写非常详细，用别的ai生成的东西非常精准
客户指令如下：
此设计旨在为阿里国际站提供一个具有视觉冲击力且符合高端品牌调性的促销海报。
1. 视觉核心与构图
• 构图形式：采用垂直分层构图。
• 上部（信息区）：醒目的“SUPER MARCH EXPO”艺术字占位，下方紧跟“UP TO 20% OFF”促销标签。
• 下部（产品区）：将高光泽的十字轴产品置于视觉中心。通过前后构图，将产品置于模糊的日系车模型前方，形成“核心零部件”的视觉暗示。
• 比例：1080 * 1920（9:16），适配手机移动端全屏展示。
2. 色彩与材质表现
• 色调组合：
• 白色和黑色：代表专业性、技术积淀与信任感。
• 品牌绿色：延展自 KORO 包装色，代表生命力与品牌独特性。
• 质感渲染：利用右上方落下的冷光，刻画不锈钢材质的冷冽感与金属倒角的光泽，展现轴承的精密度。
3. 设计元素细节
• 产品元素：精选十字轴（Universal Joint）多角度堆叠，展现产品细节（如注脂嘴、外圈质感）。
• 辅助元素：背景融入线条流畅的轿车模型，强化“汽车零配件”的应用场景，增加画面的空间深度。
• 地面效果：采用镜面反射效果，不仅增加了海报的高级感，也使底部产品更显沉稳。
4. 营销策略体现
• 紧迫感：通过“MARCH EXPO”字样营造年度大促的节日感。
• 吸引力：明确的“20% OFF”折扣信息，采用对比色或艺术字体，确保用户在滑动屏幕时能瞬间捕获核心利益点。</t>
  </si>
  <si>
    <t>江阴市吉丰铝业</t>
  </si>
  <si>
    <t>商务</t>
  </si>
  <si>
    <t>服务客诉-商务</t>
  </si>
  <si>
    <t>12个月，成长版，埃米AIMI                                                                                         
客户表示自己没有时间用埃米平台，自己也不懂英语，所以不会对社媒平台进行运营，以及表示自己的员工也没有时间运营。目前与商务沟通，商务表示自己来帮客户运营埃米平台，后期可能存在客诉</t>
  </si>
  <si>
    <t>12个月，成长版，埃米AIMI 
客户表示AIMI已开始计算时间一个月了，白白浪费了。群中发消息阴阳商务，表示被欺骗，下次不买了。商务表示后续补偿，客户未理会。后续又出现客户阴阳商务的词句。询问客户使用情况，不再回复</t>
  </si>
  <si>
    <t>山东岚德工程机械</t>
  </si>
  <si>
    <t>12个月，成长版，埃米AIMI                                                                                          客户说销售承诺我们可以通过发布视频和图文来养号，客户的预期可能比较高，销售目前看到消息已读不回，有潜在客诉的可能</t>
  </si>
  <si>
    <t>其他</t>
  </si>
  <si>
    <t>12个月，成长版，埃米AIMI客户反馈：1、合作是签订的纸质合同，合同上商务承诺帮忙注册社媒账号，但是合同被商务带走了；2、目前对接的商务专业性差，导致账号注册未完成谷歌邮箱及YouTube、Facebook账号刚注册就被封，商务要求自己更换手机号码，对此无法接受。3、因以上问题不想继续合作，联系商务杨经理表达退款诉求，对方态度差。（以上是客诉团队核实后发的邮件，商务过度承诺）
客户已投诉、举报12345、投诉黑猫、发起法律诉讼，目前售后已进行妥善沟通及安抚，城市分司帮助客户进行全额退款，解决客诉</t>
  </si>
  <si>
    <t>账号开通1个月以上一直没有开启服务，商务同步客户出国，回国后开始服务</t>
  </si>
  <si>
    <t>商务没和客户说过有积分和消耗的事情，客户群里情绪激烈</t>
  </si>
  <si>
    <t>交付专员</t>
  </si>
  <si>
    <t>服务客诉-交付</t>
  </si>
  <si>
    <t>不满意帖子图片/视频的审美
facebook封号
缺失了多天的帖子计划——&gt;
咱们正常的发帖频率是每周发3条视频加3条图文，因为账号是刚刚启动，不建议一下子发布大量的帖文，避免识别异常被封号 加上由于最近海外社媒审核升级 所以上周我们是做了一个低频次的发布更新 并结合了养号来提高账号权重 本周会继续更新，并搭配上图文一起，咱们这个发帖频率是会根据当前的运营状态来灵活调整的 有问题我随时联系你 运营这块是我在负责 有需要您随时联系我哈</t>
  </si>
  <si>
    <t>埃米+代运营。目前代运营发帖数量不够，且专员不及时回复客户消息，商务给专员打电话也不接，客成给专员发消息，专员冷处理；平台掉线了，也不管，商务来找客成，已经找到运营总监，目前开始运营，有潜在投诉风险</t>
  </si>
  <si>
    <t>埃米+陪跑。1、商务答应客户做领英，过度承诺，没有账号，客成说不能做，需换平台，客户不高兴  2、客户买了6个平台，目前想少做一个（暂时不做VK），其他账号先注册，胡总监说让客户必须走邮件说明情况，商务很不高兴，商务总监表示先赶紧注册，邮件后续发（后续发这个情况已和胡沟通过，胡答应可以先注册）3、安排客户填写21项表，客户表示没空，只能先提供手机号，已问运营总监不填写表，先提供上手机号这些，是否可以先注册，运营总监明确表示不可以，必须填表，目前已协调商务去帮忙填写表</t>
  </si>
  <si>
    <t>武汉嘉润汇茗茶叶</t>
  </si>
  <si>
    <t>关于ins和领英在客户自己手机登录社媒可以发帖成功，使用我们的埃米需要修改尺寸后才可以发送成功的问题。客户不认可，客户诉求：我买这个工具一共就绑定了5个平台，平时用的多的，就4个，你能不能把ins的使用不了的这部分退给我，等你们什么时候可以优化升级了，我再补给你们</t>
  </si>
  <si>
    <r>
      <rPr>
        <b val="true"/>
        <i val="false"/>
        <strike val="false"/>
        <color rgb="FF000000"/>
        <sz val="9"/>
        <u val="none"/>
      </rPr>
      <t>公司名称</t>
    </r>
    <r>
      <rPr>
        <b val="true"/>
        <i val="false"/>
        <strike val="false"/>
        <color rgb="FFFF0000"/>
        <sz val="9"/>
        <u val="none"/>
      </rPr>
      <t xml:space="preserve">
（标红为未进入伙伴工作台的服务单）</t>
    </r>
  </si>
  <si>
    <r>
      <rPr>
        <rFont val="微软雅黑"/>
        <b val="false"/>
        <i val="false"/>
        <strike val="false"/>
        <color rgb="FF267EF0"/>
        <sz val="10"/>
        <u/>
      </rPr>
      <t>格润思机械.张玉宁</t>
    </r>
  </si>
  <si>
    <r>
      <rPr>
        <rFont val="宋体"/>
        <b val="false"/>
        <i val="false"/>
        <strike val="false"/>
        <color rgb="FF000000"/>
        <sz val="11"/>
        <u val="none"/>
      </rPr>
      <t>先拉服务号进群，服务号拉具体的人。</t>
    </r>
    <r>
      <rPr>
        <rFont val="宋体"/>
        <b val="false"/>
        <i val="false"/>
        <strike val="false"/>
        <color rgb="FFFF0000"/>
        <sz val="11"/>
        <u val="none"/>
      </rPr>
      <t>拉服务号的时候就需要同步聊天记录</t>
    </r>
  </si>
  <si>
    <r>
      <rPr>
        <rFont val="Microsoft YaHei"/>
        <b val="false"/>
        <i val="false"/>
        <strike val="false"/>
        <color rgb="FF000000"/>
        <sz val="10"/>
        <u val="none"/>
      </rPr>
      <t>1个社媒账号（youtube），沿用4个社媒账号（ins链接:</t>
    </r>
    <r>
      <rPr>
        <rFont val="Microsoft YaHei"/>
        <b val="false"/>
        <i val="false"/>
        <strike val="false"/>
        <color rgb="FF000000"/>
        <sz val="10"/>
        <u/>
      </rPr>
      <t>https://www.instagram.com/small_lakes2/</t>
    </r>
    <r>
      <rPr>
        <rFont val="Microsoft YaHei"/>
        <b val="false"/>
        <i val="false"/>
        <strike val="false"/>
        <color rgb="FF000000"/>
        <sz val="10"/>
        <u val="none"/>
      </rPr>
      <t xml:space="preserve">
FB链接:</t>
    </r>
    <r>
      <rPr>
        <rFont val="Microsoft YaHei"/>
        <b val="false"/>
        <i val="false"/>
        <strike val="false"/>
        <color rgb="FF000000"/>
        <sz val="10"/>
        <u/>
      </rPr>
      <t>https://www.facebook.com/profile.php?id=61585882870589</t>
    </r>
    <r>
      <rPr>
        <rFont val="Microsoft YaHei"/>
        <b val="false"/>
        <i val="false"/>
        <strike val="false"/>
        <color rgb="FF000000"/>
        <sz val="10"/>
        <u val="none"/>
      </rPr>
      <t xml:space="preserve">
TK链接:</t>
    </r>
    <r>
      <rPr>
        <rFont val="Microsoft YaHei"/>
        <b val="false"/>
        <i val="false"/>
        <strike val="false"/>
        <color rgb="FF000000"/>
        <sz val="10"/>
        <u/>
      </rPr>
      <t>https://www.tiktok.com/@small_lakes</t>
    </r>
    <r>
      <rPr>
        <rFont val="Microsoft YaHei"/>
        <b val="false"/>
        <i val="false"/>
        <strike val="false"/>
        <color rgb="FF000000"/>
        <sz val="10"/>
        <u val="none"/>
      </rPr>
      <t xml:space="preserve">
X</t>
    </r>
    <r>
      <rPr>
        <rFont val="Microsoft YaHei"/>
        <b val="false"/>
        <i val="false"/>
        <strike val="false"/>
        <color rgb="FF000000"/>
        <sz val="10"/>
        <u val="none"/>
      </rPr>
      <t xml:space="preserve"> 链接:</t>
    </r>
    <r>
      <rPr>
        <rFont val="Microsoft YaHei"/>
        <b val="false"/>
        <i val="false"/>
        <strike val="false"/>
        <color rgb="FF000000"/>
        <sz val="10"/>
        <u/>
      </rPr>
      <t>https://x.com/SmallLakes</t>
    </r>
  </si>
  <si>
    <r>
      <rPr>
        <b val="true"/>
        <i val="false"/>
        <strike val="false"/>
        <color rgb="FF000000"/>
        <sz val="9"/>
        <u val="none"/>
      </rPr>
      <t>分派专员时间</t>
    </r>
    <r>
      <rPr>
        <b val="true"/>
        <i val="false"/>
        <strike val="false"/>
        <color rgb="FF000000"/>
        <sz val="9"/>
        <u val="none"/>
      </rPr>
      <t xml:space="preserve">
（赵娟填写）</t>
    </r>
  </si>
  <si>
    <r>
      <rPr>
        <b val="true"/>
        <i val="false"/>
        <strike val="false"/>
        <color rgb="FF000000"/>
        <sz val="9"/>
        <u val="none"/>
      </rPr>
      <t>运营团队</t>
    </r>
    <r>
      <rPr>
        <b val="true"/>
        <i val="false"/>
        <strike val="false"/>
        <color rgb="FF000000"/>
        <sz val="9"/>
        <u val="none"/>
      </rPr>
      <t xml:space="preserve">
（</t>
    </r>
    <r>
      <rPr>
        <b val="true"/>
        <i val="false"/>
        <strike val="false"/>
        <color rgb="FFFF0000"/>
        <sz val="9"/>
        <u val="none"/>
      </rPr>
      <t>运营团队填写</t>
    </r>
    <r>
      <rPr>
        <b val="true"/>
        <i val="false"/>
        <strike val="false"/>
        <color rgb="FF000000"/>
        <sz val="9"/>
        <u val="none"/>
      </rPr>
      <t>）</t>
    </r>
  </si>
  <si>
    <r>
      <rPr>
        <b val="true"/>
        <i val="false"/>
        <strike val="false"/>
        <color rgb="FF000000"/>
        <sz val="9"/>
        <u val="none"/>
      </rPr>
      <t>运营专员</t>
    </r>
    <r>
      <rPr>
        <b val="true"/>
        <i val="false"/>
        <strike val="false"/>
        <color rgb="FF000000"/>
        <sz val="9"/>
        <u val="none"/>
      </rPr>
      <t xml:space="preserve">
（</t>
    </r>
    <r>
      <rPr>
        <b val="true"/>
        <i val="false"/>
        <strike val="false"/>
        <color rgb="FFFF0000"/>
        <sz val="9"/>
        <u val="none"/>
      </rPr>
      <t>运营团队填写</t>
    </r>
    <r>
      <rPr>
        <b val="true"/>
        <i val="false"/>
        <strike val="false"/>
        <color rgb="FF000000"/>
        <sz val="9"/>
        <u val="none"/>
      </rPr>
      <t>）</t>
    </r>
  </si>
  <si>
    <r>
      <rPr>
        <b val="true"/>
        <i val="false"/>
        <strike val="false"/>
        <color rgb="FF000000"/>
        <sz val="9"/>
        <u val="none"/>
      </rPr>
      <t>服务开始时间</t>
    </r>
    <r>
      <rPr>
        <b val="true"/>
        <i val="false"/>
        <strike val="false"/>
        <color rgb="FF000000"/>
        <sz val="9"/>
        <u val="none"/>
      </rPr>
      <t xml:space="preserve">
（全平台注册并授权为开始，</t>
    </r>
    <r>
      <rPr>
        <b val="true"/>
        <i val="false"/>
        <strike val="false"/>
        <color rgb="FFFF0000"/>
        <sz val="9"/>
        <u val="none"/>
      </rPr>
      <t>运营专员填写</t>
    </r>
    <r>
      <rPr>
        <b val="true"/>
        <i val="false"/>
        <strike val="false"/>
        <color rgb="FF000000"/>
        <sz val="9"/>
        <u val="none"/>
      </rPr>
      <t>）</t>
    </r>
  </si>
  <si>
    <r>
      <rPr>
        <b val="true"/>
        <i val="false"/>
        <strike val="false"/>
        <color rgb="FF000000"/>
        <sz val="9"/>
        <u val="none"/>
      </rPr>
      <t>状态</t>
    </r>
    <r>
      <rPr>
        <b val="true"/>
        <i val="false"/>
        <strike val="false"/>
        <color rgb="FF000000"/>
        <sz val="9"/>
        <u val="none"/>
      </rPr>
      <t xml:space="preserve">
（</t>
    </r>
    <r>
      <rPr>
        <b val="true"/>
        <i val="false"/>
        <strike val="false"/>
        <color rgb="FFFF0000"/>
        <sz val="9"/>
        <u val="none"/>
      </rPr>
      <t>运营专员填写</t>
    </r>
    <r>
      <rPr>
        <b val="true"/>
        <i val="false"/>
        <strike val="false"/>
        <color rgb="FF000000"/>
        <sz val="9"/>
        <u val="none"/>
      </rPr>
      <t>）</t>
    </r>
  </si>
  <si>
    <r>
      <rPr>
        <rFont val="宋体-简"/>
        <b val="false"/>
        <i val="false"/>
        <strike val="false"/>
        <color rgb="FF000000"/>
        <sz val="9"/>
      </rPr>
      <t>詹晓东（</t>
    </r>
    <r>
      <rPr>
        <rFont val="HelveticaNeue"/>
        <b val="false"/>
        <i val="false"/>
        <strike val="false"/>
        <color rgb="FF000000"/>
        <sz val="9"/>
      </rPr>
      <t>SF</t>
    </r>
    <r>
      <rPr>
        <rFont val="宋体-简"/>
        <b val="false"/>
        <i val="false"/>
        <strike val="false"/>
        <color rgb="FF000000"/>
        <sz val="9"/>
      </rPr>
      <t>：</t>
    </r>
    <r>
      <rPr>
        <rFont val="HelveticaNeue"/>
        <b val="false"/>
        <i val="false"/>
        <strike val="false"/>
        <color rgb="FF000000"/>
        <sz val="9"/>
      </rPr>
      <t>429001197806307437</t>
    </r>
    <r>
      <rPr>
        <rFont val="宋体-简"/>
        <b val="false"/>
        <i val="false"/>
        <strike val="false"/>
        <color rgb="FF000000"/>
        <sz val="9"/>
      </rPr>
      <t>）</t>
    </r>
  </si>
  <si>
    <r>
      <rPr>
        <rFont val="Aptos"/>
        <b val="false"/>
        <i val="false"/>
        <strike val="false"/>
        <color rgb="FF1F2937"/>
        <sz val="11"/>
        <u val="none"/>
      </rPr>
      <t>12个月，成长版，埃米AIMI
图片和文字不一致，客户原话“</t>
    </r>
    <r>
      <rPr>
        <rFont val="等线"/>
        <b val="false"/>
        <i val="false"/>
        <strike val="false"/>
        <color rgb="FF1F2937"/>
        <sz val="11"/>
        <u val="none"/>
      </rPr>
      <t>驴唇不对马嘴</t>
    </r>
    <r>
      <rPr>
        <rFont val="Aptos"/>
        <b val="false"/>
        <i val="false"/>
        <strike val="false"/>
        <color rgb="FF1F2937"/>
        <sz val="11"/>
        <u val="none"/>
      </rPr>
      <t>”</t>
    </r>
    <r>
      <rPr>
        <rFont val="等线"/>
        <b val="false"/>
        <i val="false"/>
        <strike val="false"/>
        <color rgb="FF1F2937"/>
        <sz val="11"/>
        <u val="none"/>
      </rPr>
      <t>，客户解码信息填写非常详细</t>
    </r>
  </si>
  <si>
    <r>
      <rPr>
        <rFont val="Aptos"/>
        <b val="false"/>
        <i val="false"/>
        <strike val="false"/>
        <color rgb="FF1F2937"/>
        <sz val="11"/>
        <u val="none"/>
      </rPr>
      <t>12个月，成长版，埃米AIMI
解码和素材均按要求上传，但生成贴文中图片/</t>
    </r>
    <r>
      <rPr>
        <rFont val="等线"/>
        <b val="false"/>
        <i val="false"/>
        <strike val="false"/>
        <color rgb="FF1F2937"/>
        <sz val="11"/>
        <u val="none"/>
      </rPr>
      <t>视频与文案不匹配，匹配逻辑存在错误</t>
    </r>
  </si>
</sst>
</file>

<file path=xl/styles.xml><?xml version="1.0" encoding="utf-8"?>
<styleSheet xmlns="http://schemas.openxmlformats.org/spreadsheetml/2006/main">
  <numFmts count="6">
    <numFmt numFmtId="300" formatCode="yyyy/m/d;@"/>
    <numFmt numFmtId="301" formatCode="yyyy&quot;年&quot;m&quot;月&quot;d&quot;日&quot;;@"/>
    <numFmt numFmtId="302" formatCode="yyyy/m/d h:mm:ss;@"/>
    <numFmt numFmtId="303" formatCode="0_ "/>
    <numFmt numFmtId="304" formatCode="m&quot;月&quot;d&quot;日&quot;;@"/>
    <numFmt numFmtId="305" formatCode="yyyy/m/d"/>
  </numFmts>
  <fonts count="52">
    <font>
      <name val="等线"/>
      <charset val="134"/>
      <family val="2"/>
      <color theme="1"/>
      <sz val="10"/>
      <scheme val="minor"/>
    </font>
    <font>
      <name val="等线"/>
      <charset val="134"/>
      <color rgb="FF175CEB"/>
      <sz val="10"/>
      <u/>
      <scheme val="minor"/>
    </font>
    <font>
      <name val="Segoe UI Symbol"/>
      <family val="2"/>
      <color rgb="FF000000"/>
      <sz val="10"/>
    </font>
    <font>
      <b val="true"/>
      <sz val="9"/>
    </font>
    <font>
      <sz val="9"/>
    </font>
    <font>
      <b val="true"/>
    </font>
    <font>
      <sz val="9"/>
    </font>
    <font/>
    <font>
      <name val="Microsoft YaHei"/>
      <color rgb="FF000000"/>
      <sz val="10"/>
    </font>
    <font/>
    <font>
      <sz val="9"/>
    </font>
    <font>
      <sz val="10"/>
    </font>
    <font>
      <name val="宋体"/>
      <color rgb="FF000000"/>
      <sz val="10"/>
    </font>
    <font>
      <name val="宋体"/>
      <sz val="10"/>
    </font>
    <font>
      <name val="Microsoft YaHei"/>
      <color rgb="FF000000"/>
    </font>
    <font>
      <sz val="11"/>
    </font>
    <font>
      <name val="宋体"/>
      <sz val="11"/>
    </font>
    <font>
      <b val="true"/>
      <sz val="14"/>
    </font>
    <font>
      <name val="Microsoft YaHei"/>
    </font>
    <font>
      <name val="Microsoft YaHei"/>
      <b val="true"/>
      <color rgb="FF000000"/>
      <sz val="11"/>
    </font>
    <font>
      <name val="Microsoft YaHei"/>
      <color rgb="FF000000"/>
      <sz val="11"/>
    </font>
    <font>
      <name val="Microsoft YaHei"/>
      <color rgb="FF000000"/>
      <sz val="9"/>
    </font>
    <font>
      <name val="Microsoft YaHei"/>
      <sz val="9"/>
    </font>
    <font>
      <name val="Microsoft YaHei"/>
      <color rgb="FF000000"/>
      <sz val="11"/>
    </font>
    <font>
      <name val="Microsoft YaHei"/>
      <sz val="11"/>
    </font>
    <font>
      <name val="Microsoft YaHei"/>
      <i val="true"/>
      <color rgb="FF000000"/>
      <sz val="11"/>
    </font>
    <font>
      <name val="Microsoft YaHei"/>
      <color rgb="FF000000"/>
    </font>
    <font>
      <name val="inherit"/>
      <color rgb="FF000000"/>
      <sz val="10"/>
    </font>
    <font>
      <name val="HelveticaNeue"/>
      <color rgb="FF000000"/>
      <sz val="10"/>
    </font>
    <font>
      <color rgb="FFFF0000"/>
      <sz val="9"/>
    </font>
    <font>
      <color rgb="FFFF0000"/>
    </font>
    <font>
      <color rgb="FF000000"/>
      <sz val="9"/>
    </font>
    <font>
      <sz val="9"/>
    </font>
    <font>
      <sz val="9"/>
    </font>
    <font>
      <color rgb="FF595959"/>
      <sz val="9"/>
    </font>
    <font>
      <sz val="9"/>
    </font>
    <font>
      <name val="Microsoft YaHei"/>
      <sz val="11"/>
    </font>
    <font>
      <name val="宋体"/>
    </font>
    <font>
      <name val="HelveticaNeue"/>
    </font>
    <font>
      <name val="HelveticaNeue"/>
      <sz val="9"/>
    </font>
    <font>
      <name val="宋体-简"/>
      <sz val="9"/>
    </font>
    <font>
      <name val="HelveticaNeue"/>
      <color rgb="FF000000"/>
    </font>
    <font>
      <name val="HelveticaNeue"/>
      <color rgb="FF000000"/>
      <sz val="9"/>
    </font>
    <font>
      <name val="宋体"/>
      <color rgb="FF000000"/>
    </font>
    <font>
      <name val="宋体"/>
      <color rgb="FF000000"/>
      <sz val="9"/>
    </font>
    <font>
      <name val="宋体"/>
      <sz val="9"/>
    </font>
    <font>
      <name val="inherit"/>
      <color rgb="FF000000"/>
      <sz val="9"/>
    </font>
    <font>
      <name val="Microsoft YaHei"/>
      <b val="true"/>
      <color rgb="FFFFFFFF"/>
      <sz val="9"/>
    </font>
    <font>
      <b val="true"/>
      <color rgb="FF000000"/>
    </font>
    <font/>
    <font>
      <color rgb="FF000000"/>
    </font>
    <font>
      <name val="Aptos"/>
      <color rgb="FF1F2937"/>
      <sz val="11"/>
    </font>
  </fonts>
  <fills count="26">
    <fill>
      <patternFill patternType="none"/>
    </fill>
    <fill>
      <patternFill patternType="gray125"/>
    </fill>
    <fill>
      <patternFill patternType="solid">
        <fgColor rgb="FF8CDDFA"/>
      </patternFill>
    </fill>
    <fill>
      <patternFill patternType="none"/>
    </fill>
    <fill>
      <patternFill patternType="none">
        <fgColor rgb="FFFFFFFF"/>
      </patternFill>
    </fill>
    <fill>
      <patternFill patternType="none"/>
    </fill>
    <fill/>
    <fill/>
    <fill>
      <patternFill patternType="solid">
        <fgColor rgb="FFDAE3F5"/>
        <bgColor auto="true"/>
      </patternFill>
    </fill>
    <fill>
      <patternFill patternType="none"/>
    </fill>
    <fill>
      <patternFill patternType="none"/>
    </fill>
    <fill>
      <patternFill patternType="none">
        <fgColor rgb="FFFFFFFF"/>
      </patternFill>
    </fill>
    <fill/>
    <fill>
      <patternFill patternType="solid">
        <fgColor rgb="FFFFFFFF"/>
      </patternFill>
    </fill>
    <fill>
      <patternFill patternType="solid">
        <fgColor rgb="FFFFFFFF"/>
      </patternFill>
    </fill>
    <fill>
      <patternFill patternType="solid">
        <fgColor rgb="FFD8D8D8"/>
      </patternFill>
    </fill>
    <fill>
      <patternFill patternType="solid">
        <fgColor rgb="FFD8D8D8"/>
      </patternFill>
    </fill>
    <fill>
      <patternFill patternType="solid">
        <fgColor rgb="FFFFEEAD"/>
      </patternFill>
    </fill>
    <fill>
      <patternFill patternType="solid">
        <fgColor rgb="FFD8D8D8"/>
      </patternFill>
    </fill>
    <fill>
      <patternFill patternType="solid">
        <fgColor rgb="FFC3EAD5"/>
      </patternFill>
    </fill>
    <fill>
      <patternFill patternType="solid">
        <fgColor rgb="FFC3EAD5"/>
      </patternFill>
    </fill>
    <fill>
      <patternFill patternType="solid">
        <fgColor rgb="FFFFFFFF"/>
      </patternFill>
    </fill>
    <fill>
      <patternFill patternType="solid">
        <fgColor rgb="FFFFFFFF"/>
      </patternFill>
    </fill>
    <fill>
      <patternFill patternType="solid">
        <fgColor rgb="FFFFFFFF"/>
        <bgColor auto="true"/>
      </patternFill>
    </fill>
    <fill>
      <patternFill patternType="solid">
        <fgColor rgb="FF1450B8"/>
      </patternFill>
    </fill>
    <fill>
      <patternFill patternType="none">
        <fgColor rgb="FF8CDDFA"/>
      </patternFill>
    </fill>
  </fills>
  <borders count="33">
    <border>
      <left/>
      <right/>
      <top/>
      <bottom/>
      <diagonal/>
    </border>
    <border>
      <left style="thin">
        <color rgb="FF000000"/>
      </left>
      <right style="thin">
        <color rgb="FF000000"/>
      </right>
      <top style="thin">
        <color rgb="FF000000"/>
      </top>
      <bottom style="thin">
        <color rgb="FF000000"/>
      </bottom>
    </border>
    <border diagonalUp="true" diagonalDown="true">
      <left style="thin">
        <color rgb="FF000000"/>
      </left>
      <right/>
      <top style="thin">
        <color rgb="FF000000"/>
      </top>
      <bottom/>
      <diagonal/>
    </border>
    <border diagonalUp="true" diagonalDown="true">
      <left/>
      <right/>
      <top style="thin">
        <color rgb="FF000000"/>
      </top>
      <bottom/>
      <diagonal/>
    </border>
    <border diagonalUp="true" diagonalDown="true">
      <left/>
      <right style="thin">
        <color rgb="FF000000"/>
      </right>
      <top style="thin">
        <color rgb="FF000000"/>
      </top>
      <bottom/>
      <diagonal/>
    </border>
    <border diagonalUp="true" diagonalDown="true">
      <left style="thin">
        <color rgb="FF000000"/>
      </left>
      <right/>
      <top/>
      <bottom/>
      <diagonal/>
    </border>
    <border diagonalUp="true" diagonalDown="true">
      <left/>
      <right/>
      <top/>
      <bottom/>
      <diagonal/>
    </border>
    <border diagonalUp="true" diagonalDown="true">
      <left/>
      <right style="thin">
        <color rgb="FF000000"/>
      </right>
      <top/>
      <bottom/>
      <diagonal/>
    </border>
    <border>
      <left style="thin">
        <color rgb="FF000000"/>
      </left>
    </border>
    <border diagonalUp="true" diagonalDown="true">
      <left/>
      <right style="thin">
        <color rgb="FF000000"/>
      </right>
      <top/>
      <bottom style="thin">
        <color rgb="FF000000"/>
      </bottom>
      <diagonal/>
    </border>
    <border diagonalUp="true" diagonalDown="true">
      <left style="thin">
        <color rgb="FF000000"/>
      </left>
      <right style="thin">
        <color rgb="FF000000"/>
      </right>
      <top style="thin">
        <color rgb="FF000000"/>
      </top>
      <bottom style="thin">
        <color rgb="FF000000"/>
      </bottom>
      <diagonal/>
    </border>
    <border>
      <left style="thin">
        <color rgb="FF000000"/>
      </left>
      <top style="thin">
        <color rgb="FF000000"/>
      </top>
    </border>
    <border>
      <right style="thin">
        <color rgb="FF000000"/>
      </right>
      <top style="thin">
        <color rgb="FF000000"/>
      </top>
    </border>
    <border diagonalUp="true" diagonalDown="true">
      <left style="thin">
        <color rgb="FF000000"/>
      </left>
      <right/>
      <top/>
      <bottom style="thin">
        <color rgb="FF000000"/>
      </bottom>
      <diagonal/>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border>
    <border>
      <right style="thin">
        <color rgb="FF000000"/>
      </right>
    </border>
    <border/>
    <border/>
    <border>
      <left style="thin">
        <color rgb="FF000000"/>
      </left>
      <right style="thin">
        <color rgb="FF000000"/>
      </right>
      <top style="thin">
        <color rgb="FF000000"/>
      </top>
    </border>
    <border>
      <left style="thin">
        <color rgb="FF000000"/>
      </left>
      <right style="thin">
        <color rgb="FF000000"/>
      </right>
      <bottom style="thin">
        <color rgb="FF000000"/>
      </bottom>
    </border>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top/>
      <bottom style="thin">
        <color rgb="FFEBEEF5"/>
      </bottom>
    </border>
    <border>
      <left style="thin">
        <color rgb="FFD8D8D8"/>
      </left>
      <right style="thin">
        <color rgb="FFD8D8D8"/>
      </right>
      <top style="thin">
        <color rgb="FFD8D8D8"/>
      </top>
      <bottom style="thin">
        <color rgb="FFD8D8D8"/>
      </bottom>
    </border>
    <border>
      <left/>
      <right style="medium">
        <color rgb="FFD0D5DD"/>
      </right>
      <top/>
      <bottom style="medium">
        <color rgb="FFD0D5DD"/>
      </bottom>
    </border>
  </borders>
  <cellStyleXfs>
    <xf numFmtId="0" fontId="0" fillId="0" borderId="0" xfId="0">
      <alignment vertical="center"/>
    </xf>
  </cellStyleXfs>
  <cellXfs count="44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2" borderId="1" xfId="0">
      <alignment vertical="center"/>
    </xf>
    <xf numFmtId="14" fontId="0" fillId="2" borderId="1" xfId="0">
      <alignment vertical="center"/>
    </xf>
    <xf fontId="4" fillId="3" borderId="1" xfId="0">
      <alignment horizontal="center" vertical="center"/>
    </xf>
    <xf fontId="0" fillId="0" borderId="1" xfId="0">
      <alignment vertical="center"/>
    </xf>
    <xf numFmtId="14" fontId="0" fillId="0" borderId="1" xfId="0">
      <alignment vertical="center"/>
    </xf>
    <xf fontId="4" fillId="4" borderId="1" xfId="0">
      <alignment horizontal="center" vertical="center"/>
    </xf>
    <xf fontId="4" fillId="5" borderId="1" xfId="0">
      <alignment horizontal="center" vertical="center"/>
    </xf>
    <xf numFmtId="300" fontId="0" fillId="0" borderId="1" xfId="0">
      <alignment vertical="center"/>
    </xf>
    <xf numFmtId="301" fontId="0" fillId="0" borderId="1" xfId="0">
      <alignment vertical="center"/>
    </xf>
    <xf fontId="4" fillId="5" borderId="0" xfId="0">
      <alignment horizontal="center" vertical="center"/>
    </xf>
    <xf fontId="5" fillId="0" borderId="0" xfId="0">
      <alignment horizontal="center" vertical="center"/>
    </xf>
    <xf fontId="5" fillId="0" borderId="1" xfId="0">
      <alignment horizontal="center" vertical="center"/>
    </xf>
    <xf fontId="0" fillId="0" borderId="0" xfId="0">
      <alignment horizontal="center" vertical="center"/>
    </xf>
    <xf numFmtId="0" fontId="0" fillId="0" borderId="1" xfId="0">
      <alignment horizontal="center" vertical="center"/>
    </xf>
    <xf fontId="0" fillId="0" borderId="1" xfId="0">
      <alignment horizontal="center" vertical="center"/>
    </xf>
    <xf fontId="6" fillId="0" borderId="0" xfId="0">
      <alignment horizontal="center" vertical="center" wrapText="false"/>
    </xf>
    <xf fontId="7" fillId="6" borderId="2" xfId="0">
      <alignment vertical="center"/>
    </xf>
    <xf fontId="7" fillId="6" borderId="3" xfId="0">
      <alignment vertical="center"/>
    </xf>
    <xf fontId="7" fillId="6" borderId="4" xfId="0">
      <alignment vertical="center"/>
    </xf>
    <xf fontId="7" fillId="6" borderId="5" xfId="0">
      <alignment vertical="center"/>
    </xf>
    <xf fontId="7" fillId="6" borderId="6" xfId="0">
      <alignment vertical="center"/>
    </xf>
    <xf fontId="7" fillId="6" borderId="7" xfId="0">
      <alignment vertical="center"/>
    </xf>
    <xf fontId="0" fillId="0" borderId="8" xfId="0">
      <alignment vertical="center"/>
    </xf>
    <xf fontId="7" fillId="6" borderId="9" xfId="0">
      <alignment vertical="center"/>
    </xf>
    <xf fontId="7" fillId="6" borderId="6" xfId="0">
      <alignment horizontal="center" vertical="center"/>
    </xf>
    <xf fontId="7" fillId="6" borderId="10" xfId="0">
      <alignment horizontal="center" vertical="center"/>
    </xf>
    <xf fontId="0" fillId="0" borderId="11" xfId="0">
      <alignment vertical="center"/>
    </xf>
    <xf fontId="0" fillId="0" borderId="12" xfId="0">
      <alignment vertical="center"/>
    </xf>
    <xf fontId="0" fillId="3" borderId="1" xfId="0">
      <alignment horizontal="center" vertical="center"/>
    </xf>
    <xf fontId="7" fillId="6" borderId="13" xfId="0">
      <alignment vertical="center"/>
    </xf>
    <xf fontId="7" fillId="6" borderId="10" xfId="0">
      <alignment horizontal="center" vertical="center"/>
    </xf>
    <xf fontId="4" fillId="0" borderId="0" xfId="0">
      <alignment horizontal="center" vertical="center" wrapText="false"/>
    </xf>
    <xf numFmtId="0" fontId="0" fillId="0" borderId="14" xfId="0">
      <alignment horizontal="center" vertical="center"/>
    </xf>
    <xf fontId="7" fillId="6" borderId="1" xfId="0">
      <alignment vertical="center"/>
    </xf>
    <xf fontId="8" fillId="3" borderId="1" xfId="0">
      <alignment vertical="center"/>
    </xf>
    <xf fontId="8" fillId="3" borderId="1" xfId="0">
      <alignment vertical="center"/>
    </xf>
    <xf numFmtId="0" fontId="9" fillId="7" borderId="1" xfId="0">
      <alignment horizontal="center" vertical="center"/>
    </xf>
    <xf fontId="0" fillId="0" borderId="14" xfId="0">
      <alignment horizontal="center" vertical="center"/>
    </xf>
    <xf fontId="9" fillId="0" borderId="1" xfId="0">
      <alignment horizontal="center" vertical="center"/>
    </xf>
    <xf fontId="9" fillId="7" borderId="1" xfId="0">
      <alignment horizontal="center" vertical="center"/>
    </xf>
    <xf fontId="10" fillId="0" borderId="0" xfId="0">
      <alignment horizontal="center" vertical="center" wrapText="false"/>
    </xf>
    <xf fontId="11" fillId="0" borderId="14" xfId="0">
      <alignment horizontal="center" vertical="center"/>
    </xf>
    <xf fontId="12" fillId="3" borderId="1" xfId="0">
      <alignment horizontal="center" vertical="center"/>
    </xf>
    <xf fontId="13" fillId="0" borderId="1" xfId="0">
      <alignment horizontal="center" vertical="center"/>
    </xf>
    <xf fontId="11" fillId="0" borderId="1" xfId="0">
      <alignment horizontal="center" vertical="center"/>
    </xf>
    <xf fontId="7" fillId="6" borderId="10" xfId="0">
      <alignment vertical="center"/>
    </xf>
    <xf fontId="14" fillId="3" borderId="1" xfId="0">
      <alignment horizontal="center" vertical="center"/>
    </xf>
    <xf numFmtId="0" fontId="0" fillId="0" borderId="0" xfId="0">
      <alignment horizontal="center" vertical="center"/>
    </xf>
    <xf fontId="8" fillId="3" borderId="1" xfId="0">
      <alignment horizontal="center" vertical="center"/>
    </xf>
    <xf numFmtId="0" fontId="0" fillId="0" borderId="15" xfId="0">
      <alignment horizontal="center" vertical="center"/>
    </xf>
    <xf fontId="14" fillId="3" borderId="1" xfId="0">
      <alignment horizontal="left" vertical="center"/>
    </xf>
    <xf fontId="0" fillId="0" borderId="0" xfId="0">
      <alignment horizontal="center" vertical="center" wrapText="true"/>
    </xf>
    <xf fontId="15" fillId="8" borderId="1" xfId="0">
      <alignment horizontal="center" vertical="center" textRotation="0" indent="0" justifyLastLine="false" shrinkToFit="false"/>
    </xf>
    <xf fontId="15" fillId="0" borderId="0" xfId="0">
      <alignment vertical="center"/>
    </xf>
    <xf numFmtId="22" fontId="15" fillId="0" borderId="0" xfId="0">
      <alignment horizontal="left" vertical="center" textRotation="0" indent="0" justifyLastLine="false" shrinkToFit="false"/>
    </xf>
    <xf fontId="15" fillId="0" borderId="0" xfId="0">
      <alignment horizontal="left" vertical="center" textRotation="0" indent="0" justifyLastLine="false" shrinkToFit="false"/>
    </xf>
    <xf fontId="15" fillId="0" borderId="0" xfId="0">
      <alignment horizontal="center" vertical="center" textRotation="0" indent="0" justifyLastLine="false" shrinkToFit="false"/>
    </xf>
    <xf fontId="15" fillId="0" borderId="0" xfId="0">
      <alignment horizontal="left" vertical="center" textRotation="0" wrapText="true" indent="0" justifyLastLine="false" shrinkToFit="false"/>
    </xf>
    <xf fontId="15" fillId="0" borderId="0" xfId="0">
      <alignment horizontal="left" vertical="center"/>
    </xf>
    <xf numFmtId="22" fontId="15" fillId="0" borderId="0" xfId="0">
      <alignment horizontal="left" vertical="center" textRotation="0" wrapText="true" indent="0" justifyLastLine="false" shrinkToFit="false"/>
    </xf>
    <xf numFmtId="302" fontId="0" fillId="0" borderId="0" xfId="0">
      <alignment horizontal="left" vertical="center"/>
    </xf>
    <xf fontId="0" fillId="0" borderId="0" xfId="0">
      <alignment vertical="center" wrapText="true"/>
    </xf>
    <xf fontId="16" fillId="0" borderId="1" xfId="0">
      <alignment vertical="center"/>
    </xf>
    <xf numFmtId="0" fontId="0" fillId="0" borderId="1" xfId="0">
      <alignment vertical="center"/>
    </xf>
    <xf fontId="16" fillId="0" borderId="1" xfId="0">
      <alignment vertical="center" wrapText="true"/>
    </xf>
    <xf fontId="16" fillId="0" borderId="1" xfId="0">
      <alignment horizontal="center" vertical="center"/>
    </xf>
    <xf fontId="0" fillId="2" borderId="0" xfId="0">
      <alignment vertical="center"/>
    </xf>
    <xf fontId="0" fillId="2" borderId="0" xfId="0">
      <alignment vertical="center" wrapText="true"/>
    </xf>
    <xf fontId="0" fillId="2" borderId="1" xfId="0">
      <alignment horizontal="center" vertical="center"/>
    </xf>
    <xf fontId="0" fillId="2" borderId="1" xfId="0">
      <alignment vertical="center" wrapText="true"/>
    </xf>
    <xf fontId="17" fillId="2" borderId="0" xfId="0">
      <alignment horizontal="center" vertical="center"/>
    </xf>
    <xf fontId="18" fillId="0" borderId="1" xfId="0">
      <alignment horizontal="center" vertical="center" wrapText="true"/>
    </xf>
    <xf fontId="18" fillId="0" borderId="16" xfId="0">
      <alignment horizontal="left" vertical="center" wrapText="true"/>
    </xf>
    <xf fontId="0" fillId="0" borderId="17" xfId="0">
      <alignment vertical="center"/>
    </xf>
    <xf fontId="0" fillId="0" borderId="18" xfId="0">
      <alignment vertical="center"/>
    </xf>
    <xf numFmtId="0" fontId="0" fillId="0" borderId="0" xfId="0">
      <alignment vertical="center"/>
    </xf>
    <xf fontId="9" fillId="0" borderId="16" xfId="0">
      <alignment horizontal="left" vertical="center" wrapText="true"/>
    </xf>
    <xf fontId="18" fillId="0" borderId="1" xfId="0">
      <alignment horizontal="left" vertical="center" wrapText="true"/>
    </xf>
    <xf fontId="0" fillId="0" borderId="1" xfId="0">
      <alignment vertical="center" wrapText="true"/>
    </xf>
    <xf numFmtId="0" fontId="0" fillId="0" borderId="1" xfId="0">
      <alignment vertical="center" wrapText="true"/>
    </xf>
    <xf fontId="19" fillId="3" borderId="1" xfId="0">
      <alignment horizontal="left" vertical="center" justifyLastLine="false" shrinkToFit="false"/>
    </xf>
    <xf fontId="19" fillId="9" borderId="1" xfId="0">
      <alignment vertical="center"/>
    </xf>
    <xf numFmtId="303" fontId="19" fillId="3" borderId="1" xfId="0">
      <alignment horizontal="left" vertical="center" justifyLastLine="false" shrinkToFit="false"/>
    </xf>
    <xf fontId="19" fillId="5" borderId="1" xfId="0">
      <alignment horizontal="left" vertical="center" justifyLastLine="false" shrinkToFit="false"/>
    </xf>
    <xf numFmtId="14" fontId="19" fillId="5" borderId="1" xfId="0">
      <alignment horizontal="left" vertical="center" justifyLastLine="false" shrinkToFit="false"/>
    </xf>
    <xf numFmtId="300" fontId="19" fillId="5" borderId="1" xfId="0">
      <alignment horizontal="left" vertical="center" justifyLastLine="false" shrinkToFit="false"/>
    </xf>
    <xf fontId="19" fillId="5" borderId="1" xfId="0">
      <alignment horizontal="left" vertical="center"/>
    </xf>
    <xf fontId="19" fillId="3" borderId="1" xfId="0">
      <alignment horizontal="left" vertical="center" wrapText="true" justifyLastLine="false" shrinkToFit="false"/>
    </xf>
    <xf fontId="19" fillId="5" borderId="19" xfId="0">
      <alignment horizontal="left" vertical="center" justifyLastLine="false" shrinkToFit="false"/>
    </xf>
    <xf numFmtId="0" fontId="20" fillId="5" borderId="1" xfId="0">
      <alignment horizontal="left" vertical="center" wrapText="false" justifyLastLine="false" shrinkToFit="false"/>
    </xf>
    <xf fontId="21" fillId="5" borderId="10" xfId="0">
      <alignment horizontal="left" vertical="center" wrapText="false"/>
    </xf>
    <xf fontId="21" fillId="5" borderId="1" xfId="0">
      <alignment horizontal="left" vertical="center" wrapText="false"/>
    </xf>
    <xf fontId="20" fillId="5" borderId="1" xfId="0">
      <alignment horizontal="left" vertical="center"/>
    </xf>
    <xf fontId="20" fillId="3" borderId="1" xfId="0">
      <alignment horizontal="left" vertical="center"/>
    </xf>
    <xf fontId="20" fillId="3" borderId="1" xfId="0">
      <alignment vertical="center"/>
    </xf>
    <xf numFmtId="14" fontId="20" fillId="3" borderId="1" xfId="0">
      <alignment horizontal="left" vertical="center"/>
    </xf>
    <xf fontId="21" fillId="3" borderId="1" xfId="0">
      <alignment horizontal="left" vertical="center" wrapText="false"/>
    </xf>
    <xf numFmtId="0" fontId="20" fillId="3" borderId="1" xfId="0">
      <alignment horizontal="left" vertical="center" wrapText="false"/>
    </xf>
    <xf fontId="20" fillId="3" borderId="1" xfId="0">
      <alignment horizontal="left" vertical="center" wrapText="true"/>
    </xf>
    <xf fontId="22" fillId="5" borderId="1" xfId="0">
      <alignment horizontal="left" vertical="center" wrapText="false"/>
    </xf>
    <xf fontId="20" fillId="5" borderId="19" xfId="0">
      <alignment horizontal="left" vertical="center"/>
    </xf>
    <xf fontId="20" fillId="3" borderId="19" xfId="0">
      <alignment horizontal="left" vertical="center"/>
    </xf>
    <xf numFmtId="0" fontId="20" fillId="3" borderId="1" xfId="0">
      <alignment horizontal="left" vertical="center"/>
    </xf>
    <xf fontId="19" fillId="3" borderId="1" xfId="0">
      <alignment horizontal="left" vertical="center"/>
    </xf>
    <xf numFmtId="14" fontId="20" fillId="5" borderId="1" xfId="0">
      <alignment horizontal="left" vertical="center"/>
    </xf>
    <xf fontId="20" fillId="5" borderId="1" xfId="0">
      <alignment horizontal="left" vertical="center" wrapText="true"/>
    </xf>
    <xf fontId="22" fillId="10" borderId="1" xfId="0">
      <alignment horizontal="left" vertical="center" wrapText="false"/>
    </xf>
    <xf fontId="23" fillId="3" borderId="1" xfId="0">
      <alignment horizontal="left" vertical="center"/>
    </xf>
    <xf numFmtId="0" fontId="20" fillId="5" borderId="1" xfId="0">
      <alignment horizontal="left" vertical="center"/>
    </xf>
    <xf fontId="23" fillId="5" borderId="19" xfId="0">
      <alignment horizontal="left" vertical="center"/>
    </xf>
    <xf fontId="23" fillId="5" borderId="1" xfId="0">
      <alignment horizontal="left" vertical="center"/>
    </xf>
    <xf numFmtId="304" fontId="20" fillId="5" borderId="1" xfId="0">
      <alignment horizontal="left" vertical="center" wrapText="true"/>
    </xf>
    <xf fontId="24" fillId="4" borderId="1" xfId="0">
      <alignment horizontal="left" vertical="center"/>
    </xf>
    <xf numFmtId="300" fontId="20" fillId="3" borderId="1" xfId="0">
      <alignment horizontal="left" vertical="center"/>
    </xf>
    <xf fontId="21" fillId="3" borderId="10" xfId="0">
      <alignment horizontal="left" vertical="center" wrapText="false"/>
    </xf>
    <xf numFmtId="300" fontId="20" fillId="5" borderId="1" xfId="0">
      <alignment horizontal="left" vertical="center"/>
    </xf>
    <xf fontId="20" fillId="5" borderId="20" xfId="0">
      <alignment horizontal="left" vertical="center" wrapText="true"/>
    </xf>
    <xf fontId="20" fillId="5" borderId="10" xfId="0">
      <alignment horizontal="left" vertical="center" wrapText="true"/>
    </xf>
    <xf fontId="20" fillId="3" borderId="10" xfId="0">
      <alignment horizontal="left" vertical="center"/>
    </xf>
    <xf numFmtId="304" fontId="20" fillId="5" borderId="20" xfId="0">
      <alignment horizontal="left" vertical="center" wrapText="true"/>
    </xf>
    <xf fontId="14" fillId="5" borderId="10" xfId="0">
      <alignment vertical="center" textRotation="0" indent="0" justifyLastLine="false" shrinkToFit="false"/>
    </xf>
    <xf fontId="14" fillId="5" borderId="1" xfId="0">
      <alignment vertical="center" textRotation="0" indent="0" justifyLastLine="false" shrinkToFit="false"/>
    </xf>
    <xf numFmtId="300" fontId="20" fillId="5" borderId="1" xfId="0">
      <alignment horizontal="left" vertical="center" textRotation="0"/>
    </xf>
    <xf numFmtId="0" fontId="20" fillId="5" borderId="1" xfId="0">
      <alignment horizontal="left" vertical="center" wrapText="false"/>
    </xf>
    <xf fontId="14" fillId="3" borderId="1" xfId="0">
      <alignment vertical="center"/>
    </xf>
    <xf fontId="20" fillId="3" borderId="10" xfId="0">
      <alignment horizontal="left" vertical="center" wrapText="true"/>
    </xf>
    <xf numFmtId="300" fontId="20" fillId="5" borderId="1" xfId="0">
      <alignment horizontal="left" vertical="center" wrapText="true"/>
    </xf>
    <xf numFmtId="302" fontId="20" fillId="3" borderId="1" xfId="0">
      <alignment horizontal="left" vertical="center"/>
    </xf>
    <xf fontId="20" fillId="4" borderId="1" xfId="0">
      <alignment horizontal="left" vertical="center"/>
    </xf>
    <xf fontId="23" fillId="5" borderId="1" xfId="0">
      <alignment horizontal="left" vertical="center" wrapText="true"/>
    </xf>
    <xf numFmtId="0" fontId="20" fillId="5" borderId="1" xfId="0">
      <alignment horizontal="left" vertical="center" wrapText="true"/>
    </xf>
    <xf fontId="20" fillId="5" borderId="1" xfId="0">
      <alignment horizontal="left" vertical="center" wrapText="true" justifyLastLine="false" shrinkToFit="false"/>
    </xf>
    <xf fontId="20" fillId="5" borderId="1" xfId="0">
      <alignment vertical="center"/>
    </xf>
    <xf numFmtId="300" fontId="4" fillId="5" borderId="1" xfId="0">
      <alignment horizontal="center" vertical="center"/>
    </xf>
    <xf fontId="24" fillId="5" borderId="1" xfId="0">
      <alignment horizontal="left" vertical="center" wrapText="true"/>
    </xf>
    <xf fontId="22" fillId="11" borderId="1" xfId="0">
      <alignment horizontal="left" vertical="center" wrapText="false"/>
    </xf>
    <xf fontId="20" fillId="4" borderId="19" xfId="0">
      <alignment horizontal="left" vertical="center"/>
    </xf>
    <xf fontId="20" fillId="5" borderId="21" xfId="0">
      <alignment horizontal="left" vertical="center"/>
    </xf>
    <xf fontId="20" fillId="3" borderId="1" xfId="0">
      <alignment horizontal="left"/>
    </xf>
    <xf fontId="20" fillId="5" borderId="1" xfId="0">
      <alignment horizontal="left"/>
    </xf>
    <xf numFmtId="0" fontId="20" fillId="3" borderId="1" xfId="0">
      <alignment horizontal="left" vertical="center" wrapText="true"/>
    </xf>
    <xf numFmtId="302" fontId="20" fillId="5" borderId="1" xfId="0">
      <alignment horizontal="left" vertical="center"/>
    </xf>
    <xf numFmtId="303" fontId="20" fillId="5" borderId="1" xfId="0">
      <alignment horizontal="left" vertical="center"/>
    </xf>
    <xf numFmtId="303" fontId="20" fillId="3" borderId="1" xfId="0">
      <alignment horizontal="left" vertical="center"/>
    </xf>
    <xf fontId="20" fillId="3" borderId="1" xfId="0">
      <alignment vertical="center" wrapText="true"/>
    </xf>
    <xf fontId="25" fillId="3" borderId="1" xfId="0">
      <alignment horizontal="left" vertical="center"/>
    </xf>
    <xf numFmtId="22" fontId="20" fillId="3" borderId="1" xfId="0">
      <alignment horizontal="left" vertical="center" wrapText="true"/>
    </xf>
    <xf fontId="14" fillId="5" borderId="1" xfId="0">
      <alignment vertical="center"/>
    </xf>
    <xf fontId="14" fillId="3" borderId="1" xfId="0">
      <alignment vertical="center" wrapText="true"/>
    </xf>
    <xf fontId="20" fillId="3" borderId="1" xfId="0">
      <alignment vertical="center"/>
    </xf>
    <xf fontId="20" fillId="5" borderId="1" xfId="0">
      <alignment vertical="center" textRotation="0" wrapText="true" indent="0" justifyLastLine="false" shrinkToFit="false"/>
    </xf>
    <xf numFmtId="302" fontId="20" fillId="3" borderId="1" xfId="0">
      <alignment horizontal="left"/>
    </xf>
    <xf fontId="20" fillId="5" borderId="1" xfId="0">
      <alignment vertical="center"/>
    </xf>
    <xf numFmtId="300" fontId="20" fillId="3" borderId="1" xfId="0">
      <alignment vertical="center"/>
    </xf>
    <xf numFmtId="301" fontId="20" fillId="3" borderId="1" xfId="0">
      <alignment vertical="center"/>
    </xf>
    <xf fontId="23" fillId="3" borderId="1" xfId="0">
      <alignment vertical="center"/>
    </xf>
    <xf numFmtId="300" fontId="20" fillId="5" borderId="1" xfId="0">
      <alignment vertical="center"/>
    </xf>
    <xf numFmtId="302" fontId="8" fillId="5" borderId="1" xfId="0">
      <alignment horizontal="left" vertical="center"/>
    </xf>
    <xf numFmtId="302" fontId="20" fillId="5" borderId="1" xfId="0">
      <alignment horizontal="left" vertical="center" wrapText="false"/>
    </xf>
    <xf numFmtId="301" fontId="20" fillId="5" borderId="1" xfId="0">
      <alignment vertical="center"/>
    </xf>
    <xf fontId="14" fillId="3" borderId="1" xfId="0">
      <alignment vertical="center"/>
    </xf>
    <xf fontId="14" fillId="5" borderId="1" xfId="0">
      <alignment vertical="center"/>
    </xf>
    <xf fontId="8" fillId="5" borderId="1" xfId="0">
      <alignment horizontal="left" vertical="center"/>
    </xf>
    <xf fontId="8" fillId="5" borderId="1" xfId="0">
      <alignment vertical="center"/>
    </xf>
    <xf fontId="8" fillId="3" borderId="1" xfId="0">
      <alignment horizontal="left" vertical="center"/>
    </xf>
    <xf fontId="8" fillId="5" borderId="1" xfId="0">
      <alignment vertical="center" wrapText="true"/>
    </xf>
    <xf fontId="22" fillId="10" borderId="1" xfId="0">
      <alignment vertical="center" wrapText="false"/>
    </xf>
    <xf fontId="8" fillId="5" borderId="19" xfId="0">
      <alignment vertical="center"/>
    </xf>
    <xf numFmtId="302" fontId="8" fillId="3" borderId="1" xfId="0">
      <alignment horizontal="left" vertical="center"/>
    </xf>
    <xf numFmtId="22" fontId="14" fillId="5" borderId="1" xfId="0">
      <alignment horizontal="left" vertical="center" wrapText="true"/>
    </xf>
    <xf fontId="14" fillId="5" borderId="1" xfId="0">
      <alignment vertical="center" wrapText="true"/>
    </xf>
    <xf fontId="8" fillId="3" borderId="19" xfId="0">
      <alignment vertical="center"/>
    </xf>
    <xf numFmtId="22" fontId="14" fillId="3" borderId="1" xfId="0">
      <alignment horizontal="left" vertical="center" wrapText="true"/>
    </xf>
    <xf fontId="8" fillId="3" borderId="1" xfId="0">
      <alignment vertical="center"/>
    </xf>
    <xf fontId="8" fillId="5" borderId="1" xfId="0">
      <alignment vertical="center"/>
    </xf>
    <xf numFmtId="302" fontId="14" fillId="3" borderId="1" xfId="0">
      <alignment horizontal="left"/>
    </xf>
    <xf fontId="14" fillId="3" borderId="1" xfId="0">
      <alignment/>
    </xf>
    <xf fontId="26" fillId="3" borderId="1" xfId="0">
      <alignment vertical="center"/>
    </xf>
    <xf numFmtId="300" fontId="20" fillId="3" borderId="1" xfId="0">
      <alignment vertical="center"/>
    </xf>
    <xf fontId="20" fillId="5" borderId="1" xfId="0">
      <alignment horizontal="left" vertical="center" wrapText="false"/>
    </xf>
    <xf fontId="21" fillId="5" borderId="1" xfId="0">
      <alignment vertical="center" textRotation="0" wrapText="false" indent="0" justifyLastLine="false" shrinkToFit="false"/>
    </xf>
    <xf numFmtId="302" fontId="14" fillId="5" borderId="1" xfId="0">
      <alignment horizontal="left" vertical="center"/>
    </xf>
    <xf fontId="14" fillId="5" borderId="1" xfId="0">
      <alignment horizontal="left" vertical="center"/>
    </xf>
    <xf numFmtId="0" fontId="20" fillId="5" borderId="1" xfId="0">
      <alignment vertical="center"/>
    </xf>
    <xf fontId="21" fillId="5" borderId="1" xfId="0">
      <alignment wrapText="false"/>
    </xf>
    <xf numFmtId="22" fontId="14" fillId="5" borderId="1" xfId="0">
      <alignment horizontal="left" vertical="center"/>
    </xf>
    <xf numFmtId="300" fontId="8" fillId="5" borderId="1" xfId="0">
      <alignment vertical="center"/>
    </xf>
    <xf numFmtId="301" fontId="8" fillId="5" borderId="1" xfId="0">
      <alignment vertical="center"/>
    </xf>
    <xf numFmtId="14" fontId="8" fillId="5" borderId="1" xfId="0">
      <alignment vertical="center"/>
    </xf>
    <xf fontId="14" fillId="5" borderId="1" xfId="0">
      <alignment vertical="center" wrapText="false"/>
    </xf>
    <xf fontId="14" fillId="5" borderId="10" xfId="0">
      <alignment vertical="center"/>
    </xf>
    <xf fontId="22" fillId="5" borderId="1" xfId="0">
      <alignment vertical="center" wrapText="false"/>
    </xf>
    <xf fontId="8" fillId="5" borderId="21" xfId="0">
      <alignment vertical="center"/>
    </xf>
    <xf fontId="14" fillId="10" borderId="1" xfId="0">
      <alignment vertical="center"/>
    </xf>
    <xf fontId="8" fillId="5" borderId="0" xfId="0">
      <alignment vertical="center"/>
    </xf>
    <xf fontId="20" fillId="5" borderId="0" xfId="0">
      <alignment horizontal="left" vertical="center"/>
    </xf>
    <xf fontId="14" fillId="10" borderId="1" xfId="0">
      <alignment vertical="center" wrapText="true"/>
    </xf>
    <xf numFmtId="302" fontId="8" fillId="5" borderId="1" xfId="0">
      <alignment horizontal="left" vertical="center" wrapText="true"/>
    </xf>
    <xf fontId="14" fillId="5" borderId="1" xfId="0">
      <alignment horizontal="left" vertical="center" wrapText="true"/>
    </xf>
    <xf numFmtId="0" fontId="8" fillId="5" borderId="1" xfId="0">
      <alignment horizontal="left" vertical="center"/>
    </xf>
    <xf numFmtId="0" fontId="8" fillId="5" borderId="1" xfId="0">
      <alignment vertical="center"/>
    </xf>
    <xf numFmtId="302" fontId="8" fillId="5" borderId="1" xfId="0">
      <alignment vertical="center"/>
    </xf>
    <xf numFmtId="302" fontId="14" fillId="5" borderId="1" xfId="0">
      <alignment vertical="center"/>
    </xf>
    <xf fontId="14" fillId="12" borderId="1" xfId="0">
      <alignment vertical="center" wrapText="true"/>
    </xf>
    <xf numFmtId="300" fontId="4" fillId="3" borderId="1" xfId="0">
      <alignment horizontal="center" vertical="center"/>
    </xf>
    <xf fontId="8" fillId="10" borderId="1" xfId="0">
      <alignment vertical="center"/>
    </xf>
    <xf fontId="21" fillId="10" borderId="1" xfId="0">
      <alignment horizontal="left" vertical="center" wrapText="false"/>
    </xf>
    <xf numFmtId="300" fontId="8" fillId="5" borderId="1" xfId="0">
      <alignment vertical="center" wrapText="false"/>
    </xf>
    <xf fontId="8" fillId="5" borderId="22" xfId="0">
      <alignment vertical="center"/>
    </xf>
    <xf fontId="8" fillId="5" borderId="23" xfId="0">
      <alignment vertical="center"/>
    </xf>
    <xf numFmtId="14" fontId="20" fillId="5" borderId="24" xfId="0">
      <alignment horizontal="left" vertical="center"/>
    </xf>
    <xf numFmtId="14" fontId="20" fillId="5" borderId="22" xfId="0">
      <alignment horizontal="left" vertical="center"/>
    </xf>
    <xf fontId="20" fillId="5" borderId="22" xfId="0">
      <alignment horizontal="left" vertical="center"/>
    </xf>
    <xf numFmtId="300" fontId="8" fillId="5" borderId="1" xfId="0">
      <alignment horizontal="left" vertical="center"/>
    </xf>
    <xf fontId="20" fillId="13" borderId="1" xfId="0">
      <alignment horizontal="left" vertical="center"/>
    </xf>
    <xf fontId="14" fillId="13" borderId="1" xfId="0">
      <alignment horizontal="left" vertical="center"/>
    </xf>
    <xf numFmtId="302" fontId="8" fillId="13" borderId="1" xfId="0">
      <alignment horizontal="left" vertical="center"/>
    </xf>
    <xf fontId="8" fillId="13" borderId="1" xfId="0">
      <alignment horizontal="left" vertical="center"/>
    </xf>
    <xf numFmtId="300" fontId="20" fillId="13" borderId="1" xfId="0">
      <alignment horizontal="left" vertical="center"/>
    </xf>
    <xf fontId="21" fillId="13" borderId="1" xfId="0">
      <alignment horizontal="left" vertical="center" wrapText="false"/>
    </xf>
    <xf numFmtId="14" fontId="20" fillId="13" borderId="1" xfId="0">
      <alignment horizontal="left" vertical="center"/>
    </xf>
    <xf fontId="8" fillId="13" borderId="1" xfId="0">
      <alignment vertical="center"/>
    </xf>
    <xf fontId="22" fillId="14" borderId="1" xfId="0">
      <alignment vertical="center" wrapText="false"/>
    </xf>
    <xf fontId="8" fillId="13" borderId="0" xfId="0">
      <alignment vertical="center"/>
    </xf>
    <xf fontId="20" fillId="13" borderId="0" xfId="0">
      <alignment horizontal="left" vertical="center"/>
    </xf>
    <xf numFmtId="0" fontId="8" fillId="5" borderId="1" xfId="0">
      <alignment vertical="center"/>
    </xf>
    <xf fontId="20" fillId="5" borderId="24" xfId="0">
      <alignment horizontal="left" vertical="center"/>
    </xf>
    <xf numFmtId="0" fontId="14" fillId="5" borderId="24" xfId="0">
      <alignment vertical="center"/>
    </xf>
    <xf numFmtId="302" fontId="8" fillId="5" borderId="24" xfId="0">
      <alignment horizontal="left" vertical="center"/>
    </xf>
    <xf fontId="8" fillId="5" borderId="24" xfId="0">
      <alignment horizontal="left" vertical="center"/>
    </xf>
    <xf numFmtId="300" fontId="20" fillId="5" borderId="24" xfId="0">
      <alignment horizontal="left" vertical="center"/>
    </xf>
    <xf fontId="8" fillId="5" borderId="24" xfId="0">
      <alignment vertical="center"/>
    </xf>
    <xf fontId="21" fillId="5" borderId="24" xfId="0">
      <alignment horizontal="left" vertical="center" wrapText="false"/>
    </xf>
    <xf fontId="14" fillId="5" borderId="24" xfId="0">
      <alignment vertical="center"/>
    </xf>
    <xf numFmtId="0" fontId="27" fillId="5" borderId="1" xfId="0">
      <alignment vertical="center"/>
    </xf>
    <xf numFmtId="302" fontId="27" fillId="5" borderId="1" xfId="0">
      <alignment horizontal="left" vertical="center"/>
    </xf>
    <xf fontId="22" fillId="5" borderId="0" xfId="0">
      <alignment vertical="center" wrapText="false"/>
    </xf>
    <xf numFmtId="0" fontId="27" fillId="5" borderId="24" xfId="0">
      <alignment vertical="center"/>
    </xf>
    <xf numFmtId="302" fontId="27" fillId="5" borderId="24" xfId="0">
      <alignment horizontal="left" vertical="center"/>
    </xf>
    <xf numFmtId="0" fontId="28" fillId="5" borderId="1" xfId="0">
      <alignment vertical="center"/>
    </xf>
    <xf numFmtId="301" fontId="8" fillId="5" borderId="0" xfId="0">
      <alignment vertical="center"/>
    </xf>
    <xf fontId="8" fillId="5" borderId="0" xfId="0">
      <alignment vertical="center" wrapText="true"/>
    </xf>
    <xf numFmtId="300" fontId="8" fillId="5" borderId="0" xfId="0">
      <alignment vertical="center"/>
    </xf>
    <xf fontId="20" fillId="5" borderId="25" xfId="0">
      <alignment horizontal="left" vertical="center"/>
    </xf>
    <xf numFmtId="0" fontId="27" fillId="5" borderId="25" xfId="0">
      <alignment vertical="center"/>
    </xf>
    <xf numFmtId="302" fontId="27" fillId="5" borderId="25" xfId="0">
      <alignment horizontal="left" vertical="center"/>
    </xf>
    <xf fontId="8" fillId="5" borderId="25" xfId="0">
      <alignment horizontal="left" vertical="center"/>
    </xf>
    <xf numFmtId="300" fontId="20" fillId="5" borderId="25" xfId="0">
      <alignment horizontal="left" vertical="center"/>
    </xf>
    <xf fontId="21" fillId="5" borderId="25" xfId="0">
      <alignment horizontal="left" vertical="center" wrapText="false"/>
    </xf>
    <xf fontId="14" fillId="5" borderId="25" xfId="0">
      <alignment vertical="center"/>
    </xf>
    <xf numFmtId="14" fontId="20" fillId="5" borderId="25" xfId="0">
      <alignment horizontal="left" vertical="center"/>
    </xf>
    <xf fontId="0" fillId="5" borderId="0" xfId="0">
      <alignment vertical="center"/>
    </xf>
    <xf fontId="14" fillId="5" borderId="0" xfId="0">
      <alignment vertical="center"/>
    </xf>
    <xf numFmtId="302" fontId="8" fillId="5" borderId="0" xfId="0">
      <alignment horizontal="left" vertical="center"/>
    </xf>
    <xf fontId="8" fillId="5" borderId="0" xfId="0">
      <alignment horizontal="left" vertical="center"/>
    </xf>
    <xf numFmtId="300" fontId="20" fillId="5" borderId="0" xfId="0">
      <alignment horizontal="left" vertical="center"/>
    </xf>
    <xf fontId="14" fillId="5" borderId="26" xfId="0">
      <alignment vertical="center"/>
    </xf>
    <xf numFmtId="14" fontId="20" fillId="5" borderId="0" xfId="0">
      <alignment horizontal="left" vertical="center"/>
    </xf>
    <xf fontId="3" fillId="15" borderId="1" xfId="0">
      <alignment horizontal="center" vertical="center" textRotation="0" wrapText="true" indent="0" justifyLastLine="false" shrinkToFit="false"/>
    </xf>
    <xf fontId="3" fillId="16" borderId="1" xfId="0">
      <alignment horizontal="center" vertical="center" textRotation="0" wrapText="true" indent="0" justifyLastLine="false" shrinkToFit="false"/>
    </xf>
    <xf numFmtId="14" fontId="3" fillId="16" borderId="1" xfId="0">
      <alignment horizontal="center" vertical="center" textRotation="0" wrapText="true" indent="0" justifyLastLine="false" shrinkToFit="false"/>
    </xf>
    <xf fontId="3" fillId="17" borderId="1" xfId="0">
      <alignment horizontal="center" vertical="center" textRotation="0" wrapText="true" indent="0" justifyLastLine="false" shrinkToFit="false"/>
    </xf>
    <xf fontId="3" fillId="18" borderId="1" xfId="0">
      <alignment horizontal="center" vertical="center" textRotation="0" wrapText="true" justifyLastLine="false" shrinkToFit="false"/>
    </xf>
    <xf fontId="3" fillId="16" borderId="1" xfId="0">
      <alignment horizontal="center" vertical="center" textRotation="0" wrapText="true" justifyLastLine="false" shrinkToFit="false"/>
    </xf>
    <xf numFmtId="300" fontId="3" fillId="19" borderId="1" xfId="0">
      <alignment horizontal="center" vertical="center" textRotation="0" wrapText="true" indent="0" justifyLastLine="false" shrinkToFit="false"/>
    </xf>
    <xf fontId="3" fillId="19" borderId="1" xfId="0">
      <alignment horizontal="center" vertical="center" textRotation="0" wrapText="true" indent="0" justifyLastLine="false" shrinkToFit="false"/>
    </xf>
    <xf fontId="3" fillId="20" borderId="1" xfId="0">
      <alignment horizontal="center" vertical="center" textRotation="0" wrapText="true" indent="0" justifyLastLine="false" shrinkToFit="false"/>
    </xf>
    <xf fontId="4" fillId="3" borderId="16" xfId="0">
      <alignment horizontal="center" vertical="center" wrapText="true"/>
    </xf>
    <xf fontId="4" fillId="3" borderId="1" xfId="0">
      <alignment horizontal="center" vertical="center" wrapText="true"/>
    </xf>
    <xf fontId="4" fillId="5" borderId="1" xfId="0">
      <alignment horizontal="center" vertical="center" wrapText="true"/>
    </xf>
    <xf fontId="4" fillId="5" borderId="16" xfId="0">
      <alignment horizontal="center" vertical="center" wrapText="true"/>
    </xf>
    <xf fontId="4" fillId="0" borderId="1" xfId="0">
      <alignment horizontal="center" vertical="center" wrapText="true"/>
    </xf>
    <xf fontId="4" fillId="0" borderId="19" xfId="0">
      <alignment horizontal="center" vertical="center" wrapText="true"/>
    </xf>
    <xf fontId="4" fillId="3" borderId="1" xfId="0">
      <alignment horizontal="center" vertical="center" textRotation="0" indent="0" justifyLastLine="false" shrinkToFit="false"/>
    </xf>
    <xf fontId="4" fillId="5" borderId="1" xfId="0">
      <alignment horizontal="center" vertical="center" textRotation="0" indent="0" justifyLastLine="false" shrinkToFit="false"/>
    </xf>
    <xf fontId="29" fillId="3" borderId="1" xfId="0">
      <alignment horizontal="center" vertical="center" textRotation="0" indent="0" justifyLastLine="false" shrinkToFit="false"/>
    </xf>
    <xf numFmtId="0" fontId="4" fillId="3" borderId="1" xfId="0">
      <alignment horizontal="center" vertical="center" textRotation="0" indent="0" justifyLastLine="false" shrinkToFit="false"/>
    </xf>
    <xf numFmtId="300" fontId="4" fillId="10" borderId="1" xfId="0">
      <alignment horizontal="center" vertical="center" textRotation="0" justifyLastLine="false" shrinkToFit="false"/>
    </xf>
    <xf numFmtId="0" fontId="4" fillId="9" borderId="1" xfId="0">
      <alignment horizontal="center" vertical="center" wrapText="true" justifyLastLine="false" shrinkToFit="false"/>
    </xf>
    <xf numFmtId="300" fontId="4" fillId="9" borderId="1" xfId="0">
      <alignment horizontal="center" vertical="center"/>
    </xf>
    <xf fontId="4" fillId="10" borderId="1" xfId="0">
      <alignment horizontal="center" vertical="center" textRotation="0" wrapText="true" justifyLastLine="false" shrinkToFit="false"/>
    </xf>
    <xf numFmtId="300" fontId="4" fillId="3" borderId="1" xfId="0">
      <alignment horizontal="center" vertical="center" textRotation="0" indent="0" justifyLastLine="false" shrinkToFit="false"/>
    </xf>
    <xf numFmtId="301" fontId="4" fillId="3" borderId="1" xfId="0">
      <alignment horizontal="center" vertical="center"/>
    </xf>
    <xf fontId="4" fillId="3" borderId="1" xfId="0">
      <alignment horizontal="center" vertical="center" wrapText="false"/>
    </xf>
    <xf fontId="4" fillId="3" borderId="1" xfId="0">
      <alignment horizontal="center" vertical="center" textRotation="0" wrapText="true" indent="0" justifyLastLine="false" shrinkToFit="false"/>
    </xf>
    <xf fontId="4" fillId="3" borderId="16" xfId="0">
      <alignment horizontal="center" vertical="center"/>
    </xf>
    <xf fontId="0" fillId="0" borderId="19" xfId="0">
      <alignment vertical="center"/>
    </xf>
    <xf fontId="29" fillId="9" borderId="1" xfId="0">
      <alignment horizontal="center" vertical="center" textRotation="0" justifyLastLine="false" shrinkToFit="false"/>
    </xf>
    <xf fontId="4" fillId="5" borderId="1" xfId="0">
      <alignment horizontal="center" vertical="center" textRotation="0" wrapText="true" indent="0" justifyLastLine="false" shrinkToFit="false"/>
    </xf>
    <xf fontId="30" fillId="0" borderId="1" xfId="0">
      <alignment vertical="center"/>
    </xf>
    <xf fontId="30" fillId="0" borderId="19" xfId="0">
      <alignment vertical="center"/>
    </xf>
    <xf fontId="31" fillId="3" borderId="1" xfId="0">
      <alignment horizontal="center" vertical="center"/>
    </xf>
    <xf fontId="29" fillId="3" borderId="1" xfId="0">
      <alignment horizontal="center" vertical="center"/>
    </xf>
    <xf fontId="31" fillId="3" borderId="16" xfId="0">
      <alignment horizontal="center" vertical="center"/>
    </xf>
    <xf numFmtId="0" fontId="4" fillId="5" borderId="1" xfId="0">
      <alignment horizontal="center" vertical="center" textRotation="0" indent="0" justifyLastLine="false" shrinkToFit="false"/>
    </xf>
    <xf fontId="32" fillId="3" borderId="1" xfId="0">
      <alignment horizontal="center" vertical="center" wrapText="false"/>
    </xf>
    <xf fontId="33" fillId="3" borderId="1" xfId="0">
      <alignment horizontal="center" vertical="center" wrapText="false"/>
    </xf>
    <xf fontId="4" fillId="9" borderId="1" xfId="0">
      <alignment horizontal="center" vertical="center" textRotation="0" justifyLastLine="false" shrinkToFit="false"/>
    </xf>
    <xf numFmtId="300" fontId="4" fillId="10" borderId="1" xfId="0">
      <alignment horizontal="center" vertical="center"/>
    </xf>
    <xf fontId="29" fillId="9" borderId="10" xfId="0">
      <alignment horizontal="center" vertical="center" textRotation="0" justifyLastLine="false" shrinkToFit="false"/>
    </xf>
    <xf numFmtId="0" fontId="4" fillId="3" borderId="10" xfId="0">
      <alignment horizontal="center" vertical="center" textRotation="0" indent="0" justifyLastLine="false" shrinkToFit="false"/>
    </xf>
    <xf fontId="4" fillId="3" borderId="27" xfId="0">
      <alignment horizontal="center" vertical="center"/>
    </xf>
    <xf fontId="4" fillId="3" borderId="0" xfId="0">
      <alignment horizontal="center" vertical="center"/>
    </xf>
    <xf numFmtId="0" fontId="4" fillId="3" borderId="1" xfId="0">
      <alignment horizontal="center" vertical="center"/>
    </xf>
    <xf numFmtId="0" fontId="4" fillId="9" borderId="1" xfId="0">
      <alignment horizontal="left" vertical="center" justifyLastLine="false" shrinkToFit="false"/>
    </xf>
    <xf fontId="34" fillId="9" borderId="1" xfId="0">
      <alignment horizontal="center" vertical="center" justifyLastLine="false" shrinkToFit="false"/>
    </xf>
    <xf fontId="31" fillId="9" borderId="1" xfId="0">
      <alignment horizontal="center" vertical="center" justifyLastLine="false" shrinkToFit="false"/>
    </xf>
    <xf numFmtId="0" fontId="4" fillId="9" borderId="1" xfId="0">
      <alignment horizontal="center" vertical="center" justifyLastLine="false" shrinkToFit="false"/>
    </xf>
    <xf numFmtId="300" fontId="4" fillId="9" borderId="1" xfId="0">
      <alignment horizontal="center" vertical="center" textRotation="0" justifyLastLine="false" shrinkToFit="false"/>
    </xf>
    <xf numFmtId="0" fontId="4" fillId="9" borderId="10" xfId="0">
      <alignment horizontal="center" vertical="center" wrapText="true" justifyLastLine="false" shrinkToFit="false"/>
    </xf>
    <xf fontId="4" fillId="5" borderId="1" xfId="0">
      <alignment horizontal="center" vertical="center" wrapText="false"/>
    </xf>
    <xf fontId="35" fillId="5" borderId="1" xfId="0">
      <alignment horizontal="center" vertical="center" wrapText="false"/>
    </xf>
    <xf fontId="31" fillId="9" borderId="1" xfId="0">
      <alignment horizontal="center" vertical="center" wrapText="false" justifyLastLine="false" shrinkToFit="false"/>
    </xf>
    <xf fontId="31" fillId="9" borderId="1" xfId="0">
      <alignment horizontal="center" vertical="center" wrapText="true" justifyLastLine="false" shrinkToFit="false"/>
    </xf>
    <xf fontId="4" fillId="9" borderId="1" xfId="0">
      <alignment horizontal="center" vertical="center" justifyLastLine="false" shrinkToFit="false"/>
    </xf>
    <xf fontId="4" fillId="3" borderId="25" xfId="0">
      <alignment horizontal="center" vertical="center"/>
    </xf>
    <xf fontId="4" fillId="5" borderId="1" xfId="0">
      <alignment horizontal="left" vertical="center" textRotation="0" wrapText="true" indent="0" justifyLastLine="false" shrinkToFit="false"/>
    </xf>
    <xf fontId="4" fillId="3" borderId="24" xfId="0">
      <alignment horizontal="center" vertical="center"/>
    </xf>
    <xf fontId="10" fillId="5" borderId="1" xfId="0">
      <alignment horizontal="center" vertical="center" wrapText="true"/>
    </xf>
    <xf fontId="31" fillId="9" borderId="1" xfId="0">
      <alignment horizontal="left" vertical="center" justifyLastLine="false" shrinkToFit="false"/>
    </xf>
    <xf fontId="20" fillId="21" borderId="1" xfId="0">
      <alignment vertical="center"/>
    </xf>
    <xf fontId="10" fillId="4" borderId="1" xfId="0">
      <alignment horizontal="center" vertical="center"/>
    </xf>
    <xf fontId="20" fillId="21" borderId="1" xfId="0">
      <alignment horizontal="left" vertical="center"/>
    </xf>
    <xf fontId="20" fillId="9" borderId="1" xfId="0">
      <alignment horizontal="left" vertical="center"/>
    </xf>
    <xf fontId="20" fillId="9" borderId="1" xfId="0">
      <alignment vertical="center"/>
    </xf>
    <xf fontId="21" fillId="9" borderId="1" xfId="0">
      <alignment vertical="center"/>
    </xf>
    <xf fontId="21" fillId="21" borderId="1" xfId="0">
      <alignment vertical="center"/>
    </xf>
    <xf fontId="36" fillId="0" borderId="1" xfId="0">
      <alignment horizontal="left" vertical="center" justifyLastLine="false" shrinkToFit="false"/>
    </xf>
    <xf fontId="37" fillId="0" borderId="1" xfId="0">
      <alignment vertical="center" justifyLastLine="false" shrinkToFit="false"/>
    </xf>
    <xf fontId="38" fillId="0" borderId="1" xfId="0">
      <alignment vertical="center" justifyLastLine="false" shrinkToFit="false"/>
    </xf>
    <xf fontId="38" fillId="0" borderId="1" xfId="0">
      <alignment horizontal="left" vertical="center" justifyLastLine="false" shrinkToFit="false"/>
    </xf>
    <xf fontId="22" fillId="0" borderId="1" xfId="0">
      <alignment vertical="center" justifyLastLine="false" shrinkToFit="false"/>
    </xf>
    <xf fontId="36" fillId="9" borderId="22" xfId="0">
      <alignment horizontal="left" vertical="center" justifyLastLine="false" shrinkToFit="false"/>
    </xf>
    <xf fontId="38" fillId="0" borderId="24" xfId="0">
      <alignment vertical="center" wrapText="true" justifyLastLine="false" shrinkToFit="false"/>
    </xf>
    <xf fontId="39" fillId="0" borderId="1" xfId="0">
      <alignment vertical="center" wrapText="true" justifyLastLine="false" shrinkToFit="false"/>
    </xf>
    <xf fontId="39" fillId="9" borderId="22" xfId="0">
      <alignment vertical="center" wrapText="true" justifyLastLine="false" shrinkToFit="false"/>
    </xf>
    <xf fontId="40" fillId="9" borderId="1" xfId="0">
      <alignment vertical="center" wrapText="true" justifyLastLine="false" shrinkToFit="false"/>
    </xf>
    <xf fontId="38" fillId="9" borderId="1" xfId="0">
      <alignment horizontal="left" vertical="center" wrapText="true" justifyLastLine="false" shrinkToFit="false"/>
    </xf>
    <xf fontId="39" fillId="9" borderId="1" xfId="0">
      <alignment vertical="center" wrapText="true" justifyLastLine="false" shrinkToFit="false"/>
    </xf>
    <xf fontId="38" fillId="9" borderId="1" xfId="0">
      <alignment vertical="center" wrapText="true" justifyLastLine="false" shrinkToFit="false"/>
    </xf>
    <xf fontId="41" fillId="9" borderId="1" xfId="0">
      <alignment horizontal="left" vertical="center" wrapText="true" justifyLastLine="false" shrinkToFit="false"/>
    </xf>
    <xf fontId="38" fillId="0" borderId="1" xfId="0">
      <alignment vertical="center" wrapText="true" justifyLastLine="false" shrinkToFit="false"/>
    </xf>
    <xf fontId="16" fillId="0" borderId="1" xfId="0">
      <alignment vertical="center" justifyLastLine="false" shrinkToFit="false"/>
    </xf>
    <xf fontId="16" fillId="9" borderId="1" xfId="0">
      <alignment vertical="center" justifyLastLine="false" shrinkToFit="false"/>
    </xf>
    <xf fontId="38" fillId="9" borderId="1" xfId="0">
      <alignment vertical="center" justifyLastLine="false" shrinkToFit="false"/>
    </xf>
    <xf fontId="37" fillId="9" borderId="1" xfId="0">
      <alignment vertical="center" justifyLastLine="false" shrinkToFit="false"/>
    </xf>
    <xf fontId="37" fillId="10" borderId="24" xfId="0">
      <alignment vertical="center" justifyLastLine="false" shrinkToFit="false"/>
    </xf>
    <xf fontId="18" fillId="9" borderId="1" xfId="0">
      <alignment vertical="center" justifyLastLine="false" shrinkToFit="false"/>
    </xf>
    <xf fontId="36" fillId="9" borderId="1" xfId="0">
      <alignment vertical="center" justifyLastLine="false" shrinkToFit="false"/>
    </xf>
    <xf fontId="18" fillId="7" borderId="1" xfId="0">
      <alignment vertical="center"/>
    </xf>
    <xf fontId="4" fillId="5" borderId="1" xfId="0">
      <alignment horizontal="left" vertical="center" wrapText="true"/>
    </xf>
    <xf fontId="38" fillId="7" borderId="1" xfId="0">
      <alignment vertical="center"/>
    </xf>
    <xf fontId="38" fillId="7" borderId="1" xfId="0">
      <alignment horizontal="left" vertical="center"/>
    </xf>
    <xf fontId="21" fillId="3" borderId="1" xfId="0">
      <alignment vertical="center"/>
    </xf>
    <xf fontId="8" fillId="3" borderId="28" xfId="0">
      <alignment horizontal="left" vertical="center"/>
    </xf>
    <xf fontId="27" fillId="3" borderId="1" xfId="0">
      <alignment horizontal="left" vertical="center"/>
    </xf>
    <xf fontId="27" fillId="3" borderId="15" xfId="0">
      <alignment vertical="center"/>
    </xf>
    <xf fontId="42" fillId="3" borderId="1" xfId="0">
      <alignment vertical="center" wrapText="true"/>
    </xf>
    <xf numFmtId="14" fontId="4" fillId="10" borderId="1" xfId="0">
      <alignment horizontal="center" vertical="center" textRotation="0" justifyLastLine="false" shrinkToFit="false"/>
    </xf>
    <xf fontId="41" fillId="3" borderId="1" xfId="0">
      <alignment vertical="center" wrapText="true"/>
    </xf>
    <xf fontId="41" fillId="3" borderId="1" xfId="0">
      <alignment horizontal="left" vertical="center" wrapText="true"/>
    </xf>
    <xf fontId="28" fillId="3" borderId="1" xfId="0">
      <alignment horizontal="left" vertical="center"/>
    </xf>
    <xf fontId="27" fillId="2" borderId="29" xfId="0">
      <alignment vertical="center"/>
    </xf>
    <xf fontId="27" fillId="2" borderId="1" xfId="0">
      <alignment vertical="center"/>
    </xf>
    <xf fontId="27" fillId="3" borderId="30" xfId="0">
      <alignment horizontal="left" vertical="center"/>
    </xf>
    <xf fontId="28" fillId="3" borderId="1" xfId="0">
      <alignment vertical="center"/>
    </xf>
    <xf fontId="43" fillId="3" borderId="1" xfId="0">
      <alignment vertical="center"/>
    </xf>
    <xf fontId="43" fillId="3" borderId="28" xfId="0">
      <alignment horizontal="left" vertical="center"/>
    </xf>
    <xf fontId="44" fillId="3" borderId="1" xfId="0">
      <alignment vertical="center"/>
    </xf>
    <xf fontId="4" fillId="10" borderId="1" xfId="0">
      <alignment horizontal="center" vertical="center"/>
    </xf>
    <xf numFmtId="0" fontId="45" fillId="3" borderId="15" xfId="0">
      <alignment vertical="center"/>
    </xf>
    <xf fontId="45" fillId="3" borderId="28" xfId="0">
      <alignment vertical="center"/>
    </xf>
    <xf fontId="45" fillId="9" borderId="1" xfId="0">
      <alignment vertical="center"/>
    </xf>
    <xf fontId="37" fillId="3" borderId="1" xfId="0">
      <alignment vertical="center"/>
    </xf>
    <xf fontId="46" fillId="3" borderId="1" xfId="0">
      <alignment vertical="center"/>
    </xf>
    <xf fontId="46" fillId="2" borderId="1" xfId="0">
      <alignment vertical="center"/>
    </xf>
    <xf fontId="36" fillId="7" borderId="1" xfId="0">
      <alignment vertical="center"/>
    </xf>
    <xf fontId="46" fillId="22" borderId="1" xfId="0">
      <alignment vertical="center"/>
    </xf>
    <xf fontId="27" fillId="22" borderId="1" xfId="0">
      <alignment vertical="center"/>
    </xf>
    <xf fontId="27" fillId="3" borderId="1" xfId="0">
      <alignment vertical="center"/>
    </xf>
    <xf fontId="44" fillId="7" borderId="1" xfId="0">
      <alignment vertical="center"/>
    </xf>
    <xf fontId="27" fillId="7" borderId="1" xfId="0">
      <alignment vertical="center"/>
    </xf>
    <xf fontId="46" fillId="7" borderId="1" xfId="0">
      <alignment vertical="center"/>
    </xf>
    <xf numFmtId="0" fontId="46" fillId="7" borderId="1" xfId="0">
      <alignment vertical="center"/>
    </xf>
    <xf fontId="42" fillId="3" borderId="1" xfId="0">
      <alignment vertical="center"/>
    </xf>
    <xf fontId="46" fillId="23" borderId="1" xfId="0">
      <alignment vertical="center"/>
    </xf>
    <xf fontId="45" fillId="3" borderId="1" xfId="0">
      <alignment vertical="center"/>
    </xf>
    <xf fontId="21" fillId="3" borderId="28" xfId="0">
      <alignment vertical="center"/>
    </xf>
    <xf numFmtId="0" fontId="27" fillId="2" borderId="1" xfId="0">
      <alignment vertical="center"/>
    </xf>
    <xf fontId="43" fillId="3" borderId="28" xfId="0">
      <alignment vertical="center"/>
    </xf>
    <xf fontId="26" fillId="3" borderId="1" xfId="0">
      <alignment horizontal="left" vertical="center"/>
    </xf>
    <xf fontId="14" fillId="3" borderId="28" xfId="0">
      <alignment vertical="center"/>
    </xf>
    <xf numFmtId="0" fontId="14" fillId="3" borderId="28" xfId="0">
      <alignment vertical="center"/>
    </xf>
    <xf numFmtId="0" fontId="27" fillId="3" borderId="1" xfId="0">
      <alignment vertical="center"/>
    </xf>
    <xf numFmtId="0" fontId="27" fillId="3" borderId="28" xfId="0">
      <alignment vertical="center"/>
    </xf>
    <xf numFmtId="14" fontId="4" fillId="9" borderId="1" xfId="0">
      <alignment horizontal="center" vertical="center" textRotation="0" justifyLastLine="false" shrinkToFit="false"/>
    </xf>
    <xf fontId="14" fillId="3" borderId="15" xfId="0">
      <alignment vertical="center"/>
    </xf>
    <xf fontId="47" fillId="24" borderId="31" xfId="0">
      <alignment horizontal="center" vertical="center" textRotation="0" indent="0" justifyLastLine="false" shrinkToFit="false"/>
    </xf>
    <xf numFmtId="14" fontId="47" fillId="24" borderId="31" xfId="0">
      <alignment horizontal="center" vertical="center" textRotation="0" indent="0" justifyLastLine="false" shrinkToFit="false"/>
    </xf>
    <xf fontId="47" fillId="24" borderId="31" xfId="0">
      <alignment horizontal="center" vertical="center" textRotation="0" wrapText="true" indent="0" justifyLastLine="false" shrinkToFit="false"/>
    </xf>
    <xf fontId="47" fillId="22" borderId="31" xfId="0">
      <alignment horizontal="center" vertical="center" textRotation="0" indent="0" justifyLastLine="false" shrinkToFit="false"/>
    </xf>
    <xf numFmtId="14" fontId="47" fillId="22" borderId="31" xfId="0">
      <alignment horizontal="center" vertical="center" textRotation="0" indent="0" justifyLastLine="false" shrinkToFit="false"/>
    </xf>
    <xf fontId="48" fillId="13" borderId="31" xfId="0">
      <alignment vertical="center"/>
    </xf>
    <xf fontId="5" fillId="13" borderId="31" xfId="0">
      <alignment vertical="center"/>
    </xf>
    <xf fontId="49" fillId="0" borderId="31" xfId="0">
      <alignment horizontal="center" vertical="center"/>
    </xf>
    <xf fontId="9" fillId="0" borderId="31" xfId="0">
      <alignment vertical="center"/>
    </xf>
    <xf numFmtId="300" fontId="49" fillId="0" borderId="31" xfId="0">
      <alignment vertical="center"/>
    </xf>
    <xf fontId="6" fillId="0" borderId="31" xfId="0">
      <alignment vertical="center" wrapText="false"/>
    </xf>
    <xf fontId="4" fillId="0" borderId="31" xfId="0">
      <alignment vertical="center" wrapText="false"/>
    </xf>
    <xf fontId="49" fillId="0" borderId="31" xfId="0">
      <alignment vertical="center" wrapText="true"/>
    </xf>
    <xf fontId="50" fillId="0" borderId="31" xfId="0">
      <alignment vertical="center"/>
    </xf>
    <xf fontId="9" fillId="7" borderId="31" xfId="0">
      <alignment vertical="center"/>
    </xf>
    <xf fontId="51" fillId="0" borderId="32" xfId="0">
      <alignment vertical="top" wrapText="true"/>
    </xf>
    <xf fontId="49" fillId="0" borderId="31" xfId="0">
      <alignment vertical="center"/>
    </xf>
    <xf numFmtId="0" fontId="49" fillId="0" borderId="31" xfId="0">
      <alignment vertical="center"/>
    </xf>
    <xf fontId="9" fillId="0" borderId="31" xfId="0">
      <alignment vertical="center" wrapText="true"/>
    </xf>
    <xf numFmtId="0" fontId="0" fillId="0" borderId="31" xfId="0">
      <alignment vertical="center"/>
    </xf>
    <xf fontId="0" fillId="0" borderId="31" xfId="0">
      <alignment vertical="center"/>
    </xf>
    <xf numFmtId="300" fontId="9" fillId="0" borderId="31" xfId="0">
      <alignment vertical="center"/>
    </xf>
    <xf numFmtId="300" fontId="0" fillId="0" borderId="31" xfId="0">
      <alignment vertical="center"/>
    </xf>
    <xf fontId="4" fillId="0" borderId="0" xfId="0">
      <alignment vertical="center" wrapText="false"/>
    </xf>
    <xf fontId="0" fillId="13" borderId="0" xfId="0">
      <alignment vertical="center"/>
    </xf>
    <xf fontId="30" fillId="13" borderId="0" xfId="0">
      <alignment vertical="center"/>
    </xf>
    <xf fontId="50" fillId="0" borderId="1" xfId="0">
      <alignment vertical="center"/>
    </xf>
    <xf fontId="0" fillId="25" borderId="0" xfId="0">
      <alignment vertical="center"/>
    </xf>
    <xf fontId="14" fillId="13" borderId="0" xfId="0">
      <alignment vertical="center"/>
    </xf>
    <xf fontId="0" fillId="4" borderId="0" xfId="0">
      <alignment vertical="center"/>
    </xf>
    <xf fontId="50" fillId="4" borderId="0" xfId="0">
      <alignment vertical="center"/>
    </xf>
    <xf fontId="50" fillId="4" borderId="22" xfId="0">
      <alignment vertical="center"/>
    </xf>
    <xf numFmtId="305" fontId="20" fillId="5" borderId="1" xfId="0">
      <alignment horizontal="left" vertical="center"/>
    </xf>
    <xf fontId="20" fillId="4" borderId="1" xfId="0">
      <alignment horizontal="left" vertical="center" wrapText="true"/>
    </xf>
    <xf fontId="0" fillId="0" borderId="0" xfId="0">
      <alignment horizontal="left" vertical="center"/>
    </xf>
    <xf fontId="4" fillId="0" borderId="0" xfId="0">
      <alignment horizontal="center" vertical="center" wrapText="true"/>
    </xf>
    <xf numFmtId="305" fontId="4" fillId="4" borderId="1" xfId="0">
      <alignment horizontal="center" vertical="center"/>
    </xf>
    <xf fontId="4" fillId="4" borderId="1" xfId="0">
      <alignment horizontal="center" vertical="center" wrapText="true"/>
    </xf>
    <xf numFmtId="300" fontId="4" fillId="4" borderId="1" xfId="0">
      <alignment horizontal="center" vertical="center"/>
    </xf>
    <xf fontId="4" fillId="4" borderId="16" xfId="0">
      <alignment horizontal="center" vertical="center"/>
    </xf>
    <xf fontId="4" fillId="0" borderId="1" xfId="0">
      <alignment vertical="center"/>
    </xf>
    <xf fontId="4" fillId="0" borderId="19" xfId="0">
      <alignment vertical="center"/>
    </xf>
    <xf fontId="5" fillId="22" borderId="1" xfId="0">
      <alignment vertical="center"/>
    </xf>
    <xf numFmtId="305" fontId="9" fillId="0" borderId="31" xfId="0">
      <alignment vertical="center"/>
    </xf>
    <xf numFmtId="305" fontId="0" fillId="0" borderId="0" xfId="0">
      <alignment vertical="center"/>
    </xf>
  </cellXfs>
  <dxfs count="4">
    <dxf>
      <font>
        <color rgb="FFDE322C"/>
      </font>
      <fill>
        <patternFill patternType="solid">
          <fgColor rgb="FFFFE9E8"/>
          <bgColor rgb="FFFFE9E8"/>
        </patternFill>
      </fill>
    </dxf>
    <dxf>
      <font>
        <b val="false"/>
        <i val="false"/>
        <strike val="false"/>
        <color rgb="FFC2C2C2"/>
      </font>
      <fill>
        <patternFill patternType="solid">
          <fgColor rgb="FFF5F5F5"/>
          <bgColor rgb="FFF5F5F5"/>
        </patternFill>
      </fill>
    </dxf>
    <dxf>
      <font>
        <b val="false"/>
        <i val="false"/>
        <strike val="false"/>
        <color rgb="FFDE322C"/>
      </font>
      <fill>
        <patternFill patternType="solid">
          <fgColor rgb="FFFFE9E8"/>
          <bgColor rgb="FFFFE9E8"/>
        </patternFill>
      </fill>
    </dxf>
    <dxf>
      <font>
        <b val="false"/>
        <i val="false"/>
        <strike val="false"/>
        <color rgb="FF00AA5B"/>
      </font>
      <fill>
        <patternFill patternType="solid">
          <fgColor rgb="FFEEFCDE"/>
          <bgColor rgb="FFEEFCDE"/>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3.xml" /><Relationship Id="rId8" Type="http://schemas.openxmlformats.org/officeDocument/2006/relationships/worksheet" Target="worksheets/sheet2.xml" /><Relationship Id="rId7" Type="http://schemas.openxmlformats.org/officeDocument/2006/relationships/worksheet" Target="worksheets/sheet1.xml" /><Relationship Id="rId6" Type="http://schemas.openxmlformats.org/officeDocument/2006/relationships/pivotCacheDefinition" Target="pivotCache/pivotCacheDefinition3.xml" /><Relationship Id="rId14" Type="http://schemas.openxmlformats.org/officeDocument/2006/relationships/worksheet" Target="worksheets/sheet8.xml" /><Relationship Id="rId1" Type="http://schemas.openxmlformats.org/officeDocument/2006/relationships/theme" Target="theme/theme1.xml" /><Relationship Id="rId3" Type="http://schemas.microsoft.com/office/2017/10/relationships/person" Target="persons/person.xml" /><Relationship Id="rId0" Type="http://schemas.openxmlformats.org/officeDocument/2006/relationships/sharedStrings" Target="sharedStrings.xml" /><Relationship Id="rId5" Type="http://schemas.openxmlformats.org/officeDocument/2006/relationships/pivotCacheDefinition" Target="pivotCache/pivotCacheDefinition2.xml" /><Relationship Id="rId13" Type="http://schemas.openxmlformats.org/officeDocument/2006/relationships/worksheet" Target="worksheets/sheet7.xml" /><Relationship Id="rId10" Type="http://schemas.openxmlformats.org/officeDocument/2006/relationships/worksheet" Target="worksheets/sheet4.xml" /><Relationship Id="rId12" Type="http://schemas.openxmlformats.org/officeDocument/2006/relationships/worksheet" Target="worksheets/sheet6.xml" /><Relationship Id="rId4" Type="http://schemas.openxmlformats.org/officeDocument/2006/relationships/pivotCacheDefinition" Target="pivotCache/pivotCacheDefinition1.xml" /><Relationship Id="rId2" Type="http://schemas.openxmlformats.org/officeDocument/2006/relationships/styles" Target="styles.xml" /><Relationship Id="rId11" Type="http://schemas.openxmlformats.org/officeDocument/2006/relationships/worksheet" Target="worksheets/sheet5.xml" /></Relationships>
</file>

<file path=xl/drawings/_rels/drawing1.xml.rels><?xml version="1.0" encoding="UTF-8" standalone="yes"?><Relationships xmlns="http://schemas.openxmlformats.org/package/2006/relationships"><Relationship Id="rId0" Type="http://schemas.openxmlformats.org/officeDocument/2006/relationships/image" Target="media/image1.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15</xdr:col>
      <xdr:colOff>0</xdr:colOff>
      <xdr:row>133</xdr:row>
      <xdr:rowOff>1370</xdr:rowOff>
    </xdr:from>
    <xdr:ext cx="695325" cy="200459"/>
    <xdr:pic>
      <xdr:nvPicPr>
        <xdr:cNvPr id="1" name="1"/>
        <xdr:cNvPicPr/>
      </xdr:nvPicPr>
      <xdr:blipFill>
        <a:blip r:embed="rId0" r:link="rId0"/>
        <a:stretch>
          <a:fillRect/>
        </a:stretch>
      </xdr:blipFill>
      <xdr:spPr>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孟婉" id="{7E47D233-8628-4D8B-88AF-7FCFC5398EEE}"/>
  <tc2018:person displayName="董德隆" id="{0413415B-C948-41E5-937D-A3AFE6815FA1}"/>
  <tc2018:person displayName="马旭蕊" id="{09654B49-F8EE-42A4-9AF6-4C971A1416DB}"/>
  <tc2018:person displayName="彭才杰" id="{1BBAE36A-CCA2-4EED-8BB6-6B4B268FCE95}"/>
</tc2018:personList>
</file>

<file path=xl/pivotCache/_rels/pivotCacheDefinition1.xml.rels><?xml version="1.0" encoding="UTF-8" standalone="yes"?><Relationships xmlns="http://schemas.openxmlformats.org/package/2006/relationships"><Relationship Id="rId0"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0"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0" Type="http://schemas.openxmlformats.org/officeDocument/2006/relationships/pivotCacheRecords" Target="pivotCacheRecords3.xml" /></Relationships>
</file>

<file path=xl/pivotCache/pivotCacheDefinition1.xml><?xml version="1.0" encoding="utf-8"?>
<pivotCacheDefinition xmlns:r="http://schemas.openxmlformats.org/officeDocument/2006/relationships" xmlns="http://schemas.openxmlformats.org/spreadsheetml/2006/main" r:id="rId0" invalid="true" refreshOnLoad="true" createdVersion="8">
  <cacheSource type="worksheet">
    <worksheetSource ref="B1:F194" sheet="产品培训公开课报名"/>
  </cacheSource>
  <cacheFields>
    <cacheField name="公司名称">
      <sharedItems/>
    </cacheField>
    <cacheField name="培训日期">
      <sharedItems containsBlank="true">
        <s v="2026.3.18"/>
        <s v="2026.3.20"/>
        <s v="2026.3.25"/>
        <s v="2026.4.1"/>
        <s v="2026.4.3"/>
        <s v="2026.4.8"/>
        <s v="2026.4.15"/>
        <m/>
      </sharedItems>
    </cacheField>
    <cacheField name="提交人">
      <sharedItems containsBlank="true">
        <s v="刘帝"/>
        <s v="谭婷"/>
        <s v="张楠"/>
        <s v="武卓玉"/>
        <s v="彭才杰"/>
        <s v="高晴"/>
        <s v="董德隆"/>
        <s v="李政"/>
        <s v="金雪"/>
        <m/>
      </sharedItems>
    </cacheField>
    <cacheField name="客户参加人">
      <sharedItems/>
    </cacheField>
    <cacheField name="是否参加">
      <sharedItems/>
    </cacheField>
  </cacheFields>
</pivotCacheDefinition>
</file>

<file path=xl/pivotCache/pivotCacheDefinition2.xml><?xml version="1.0" encoding="utf-8"?>
<pivotCacheDefinition xmlns:r="http://schemas.openxmlformats.org/officeDocument/2006/relationships" xmlns="http://schemas.openxmlformats.org/spreadsheetml/2006/main" r:id="rId0" invalid="true" refreshOnLoad="true" createdVersion="8">
  <cacheSource type="worksheet">
    <worksheetSource ref="B1:F194" sheet="产品培训公开课报名"/>
  </cacheSource>
  <cacheFields>
    <cacheField name="公司名称">
      <sharedItems/>
    </cacheField>
    <cacheField name="培训日期">
      <sharedItems containsBlank="true">
        <s v="2026.3.18"/>
        <s v="2026.3.20"/>
        <s v="2026.3.25"/>
        <s v="2026.4.1"/>
        <s v="2026.4.3"/>
        <s v="2026.4.8"/>
        <s v="2026.4.15"/>
        <m/>
      </sharedItems>
    </cacheField>
    <cacheField name="提交人">
      <sharedItems containsBlank="true">
        <s v="刘帝"/>
        <s v="谭婷"/>
        <s v="张楠"/>
        <s v="武卓玉"/>
        <s v="彭才杰"/>
        <s v="高晴"/>
        <s v="董德隆"/>
        <s v="李政"/>
        <s v="金雪"/>
        <m/>
      </sharedItems>
    </cacheField>
    <cacheField name="客户参加人">
      <sharedItems/>
    </cacheField>
    <cacheField name="是否参加">
      <sharedItems/>
    </cacheField>
  </cacheFields>
</pivotCacheDefinition>
</file>

<file path=xl/pivotCache/pivotCacheDefinition3.xml><?xml version="1.0" encoding="utf-8"?>
<pivotCacheDefinition xmlns:r="http://schemas.openxmlformats.org/officeDocument/2006/relationships" xmlns="http://schemas.openxmlformats.org/spreadsheetml/2006/main" r:id="rId0" invalid="true" refreshOnLoad="true" createdVersion="8">
  <cacheSource type="worksheet">
    <worksheetSource ref="B1:F194" sheet="产品培训公开课报名"/>
  </cacheSource>
  <cacheFields>
    <cacheField name="公司名称">
      <sharedItems/>
    </cacheField>
    <cacheField name="培训日期">
      <sharedItems containsBlank="true">
        <s v="2026.3.18"/>
        <s v="2026.3.20"/>
        <s v="2026.3.25"/>
        <s v="2026.4.1"/>
        <s v="2026.4.3"/>
        <s v="2026.4.8"/>
        <s v="2026.4.15"/>
        <m/>
      </sharedItems>
    </cacheField>
    <cacheField name="提交人">
      <sharedItems/>
    </cacheField>
    <cacheField name="客户参加人">
      <sharedItems/>
    </cacheField>
    <cacheField name="是否参加">
      <sharedItems containsBlank="true">
        <s v="是"/>
        <s v="否"/>
        <m/>
      </sharedItems>
    </cacheField>
  </cacheFields>
</pivotCacheDefinition>
</file>

<file path=xl/pivotCache/pivotCacheRecords1.xml><?xml version="1.0" encoding="utf-8"?>
<pivotCacheRecords xmlns="http://schemas.openxmlformats.org/spreadsheetml/2006/main"/>
</file>

<file path=xl/pivotCache/pivotCacheRecords2.xml><?xml version="1.0" encoding="utf-8"?>
<pivotCacheRecords xmlns="http://schemas.openxmlformats.org/spreadsheetml/2006/main"/>
</file>

<file path=xl/pivotCache/pivotCacheRecords3.xml><?xml version="1.0" encoding="utf-8"?>
<pivotCacheRecords xmlns="http://schemas.openxmlformats.org/spreadsheetml/2006/main"/>
</file>

<file path=xl/pivotTables/_rels/pivotTable1.xml.rels><?xml version="1.0" encoding="UTF-8" standalone="yes"?><Relationships xmlns="http://schemas.openxmlformats.org/package/2006/relationships"><Relationship Id="rId0" Type="http://schemas.openxmlformats.org/officeDocument/2006/relationships/pivotCacheDefinition" Target="../pivotCache/pivotCacheDefinition2.xml" /></Relationships>
</file>

<file path=xl/pivotTables/_rels/pivotTable2.xml.rels><?xml version="1.0" encoding="UTF-8" standalone="yes"?><Relationships xmlns="http://schemas.openxmlformats.org/package/2006/relationships"><Relationship Id="rId0" Type="http://schemas.openxmlformats.org/officeDocument/2006/relationships/pivotCacheDefinition" Target="../pivotCache/pivotCacheDefinition1.xml" /></Relationships>
</file>

<file path=xl/pivotTables/_rels/pivotTable3.xml.rels><?xml version="1.0" encoding="UTF-8" standalone="yes"?><Relationships xmlns="http://schemas.openxmlformats.org/package/2006/relationships"><Relationship Id="rId0" Type="http://schemas.openxmlformats.org/officeDocument/2006/relationships/pivotCacheDefinition" Target="../pivotCache/pivotCacheDefinition3.xml" /></Relationships>
</file>

<file path=xl/pivotTables/pivotTable1.xml><?xml version="1.0" encoding="utf-8"?>
<pivotTableDefinition xmlns="http://schemas.openxmlformats.org/spreadsheetml/2006/main" name="数据透视表 5911801810" cacheId="2" dataOnRows="false" dataCaption="" grandTotalCaption="总计" updatedVersion="8" compact="false" compactData="false">
  <location ref="H27:I35" firstHeaderRow="0" firstDataRow="0" firstDataCol="0"/>
  <pivotFields>
    <pivotField dataField="true" compact="false" showAll="false">
      <items>
        <item t="default"/>
      </items>
    </pivotField>
    <pivotField axis="axisPage" compact="false" showAll="false">
      <items count="9">
        <item h="true" x="0"/>
        <item h="true" x="1"/>
        <item h="true" x="2"/>
        <item h="true" x="3"/>
        <item h="false" x="6"/>
        <item h="true" x="4"/>
        <item h="true" x="5"/>
        <item h="true" x="7"/>
        <item t="default"/>
      </items>
    </pivotField>
    <pivotField axis="axisRow" compact="false" showAll="false">
      <items count="11">
        <item x="0"/>
        <item x="4"/>
        <item x="1"/>
        <item x="3"/>
        <item x="2"/>
        <item x="5"/>
        <item x="6"/>
        <item x="7"/>
        <item x="8"/>
        <item x="9"/>
        <item t="default"/>
      </items>
    </pivotField>
    <pivotField compact="false" showAll="false"/>
    <pivotField compact="false" showAll="false"/>
  </pivotFields>
  <rowFields>
    <field x="2"/>
  </rowFields>
  <pageFields>
    <pageField fld="1"/>
  </pageFields>
  <dataFields count="1">
    <dataField name="计数项：公司名称" fld="0" subtotal="count" showDataAs="normal"/>
  </dataFields>
  <pivotTableStyleInfo name="PivotStyleLight16" showRowHeaders="true" showColHeaders="true" showRowStripes="false" showColStripes="false" showLastColumn="true"/>
</pivotTableDefinition>
</file>

<file path=xl/pivotTables/pivotTable2.xml><?xml version="1.0" encoding="utf-8"?>
<pivotTableDefinition xmlns="http://schemas.openxmlformats.org/spreadsheetml/2006/main" name="数据透视表 3273742468" cacheId="1" dataOnRows="false" dataCaption="" grandTotalCaption="总计" updatedVersion="8" compact="false" compactData="false">
  <location ref="H4:I14" firstHeaderRow="0" firstDataRow="0" firstDataCol="0"/>
  <pivotFields>
    <pivotField dataField="true" compact="false" showAll="false">
      <items>
        <item t="default"/>
      </items>
    </pivotField>
    <pivotField axis="axisPage" compact="false" showAll="false">
      <items count="9">
        <item h="true" x="0"/>
        <item h="true" x="1"/>
        <item h="true" x="2"/>
        <item h="false" x="3"/>
        <item h="true" x="4"/>
        <item x="5"/>
        <item x="6"/>
        <item x="7"/>
        <item t="default"/>
      </items>
    </pivotField>
    <pivotField axis="axisRow" compact="false" showAll="false">
      <items count="11">
        <item h="false" x="0"/>
        <item h="false" x="4"/>
        <item h="false" x="1"/>
        <item h="false" x="3"/>
        <item h="false" x="2"/>
        <item h="true" x="5"/>
        <item x="6"/>
        <item x="7"/>
        <item x="8"/>
        <item x="9"/>
        <item t="default"/>
      </items>
    </pivotField>
    <pivotField compact="false" showAll="false"/>
    <pivotField compact="false" showAll="false">
      <items>
        <item t="default"/>
      </items>
    </pivotField>
  </pivotFields>
  <rowFields>
    <field x="2"/>
  </rowFields>
  <pageFields>
    <pageField fld="1"/>
  </pageFields>
  <dataFields count="1">
    <dataField name="计数项：公司名称" fld="0" subtotal="count" showDataAs="normal"/>
  </dataFields>
  <pivotTableStyleInfo name="PivotStyleLight16" showRowHeaders="true" showColHeaders="true" showRowStripes="false" showColStripes="false" showLastColumn="true"/>
</pivotTableDefinition>
</file>

<file path=xl/pivotTables/pivotTable3.xml><?xml version="1.0" encoding="utf-8"?>
<pivotTableDefinition xmlns="http://schemas.openxmlformats.org/spreadsheetml/2006/main" name="数据透视表 5492156405" cacheId="3" dataOnRows="false" dataCaption="" grandTotalCaption="总计" updatedVersion="8" compact="false" compactData="false">
  <location ref="H19:I23" firstHeaderRow="0" firstDataRow="0" firstDataCol="0"/>
  <pivotFields>
    <pivotField compact="false" showAll="false"/>
    <pivotField axis="axisPage" compact="false" showAll="false">
      <items count="9">
        <item h="false" x="0"/>
        <item h="false" x="1"/>
        <item h="false" x="2"/>
        <item h="false" x="3"/>
        <item h="false" x="4"/>
        <item h="false" x="5"/>
        <item h="true" x="6"/>
        <item x="7"/>
        <item t="default"/>
      </items>
    </pivotField>
    <pivotField compact="false" showAll="false"/>
    <pivotField compact="false" showAll="false"/>
    <pivotField axis="axisRow" dataField="true" compact="false" showAll="false">
      <items count="4">
        <item x="2"/>
        <item x="0"/>
        <item x="1"/>
        <item t="default"/>
      </items>
    </pivotField>
  </pivotFields>
  <rowFields>
    <field x="4"/>
  </rowFields>
  <pageFields>
    <pageField fld="1"/>
  </pageFields>
  <dataFields count="1">
    <dataField name="计数项：是否参加" fld="4" subtotal="count" showDataAs="normal"/>
  </dataFields>
  <pivotTableStyleInfo name="PivotStyleLight16" showRowHeaders="true" showColHeaders="true" showRowStripes="false" showColStripes="false" showLastColumn="true"/>
</pivotTableDefinition>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C126" dT="2026-04-07T08:35:11Z" personId="{1BBAE36A-CCA2-4EED-8BB6-6B4B268FCE95}" id="{2ADD6AF0-273D-4E38-B475-7F655D0C0C84}">
    <tc2018:text>原公司名：济南格拉斯进出口贸易有限公司</tc2018:text>
  </tc2018:threadedComment>
  <tc2018:threadedComment ref="C22" dT="2026-03-26T03:20:45Z" personId="{09654B49-F8EE-42A4-9AF6-4C971A1416DB}" id="{32519D9D-7048-422B-A360-B9C7F3294918}">
    <tc2018:text>客户内部人员调整，需要等新的市场经理入职。</tc2018:text>
  </tc2018:threadedComment>
  <tc2018:threadedComment ref="C79" dT="2026-03-18T03:03:52Z" personId="{09654B49-F8EE-42A4-9AF6-4C971A1416DB}" id="{BE9CE4AE-16DA-4EAC-BE94-65398D93A54C}">
    <tc2018:text>3月17日签陪跑服务</tc2018:text>
  </tc2018:threadedComment>
</tc2018:ThreadedComments>
</file>

<file path=xl/threadedComments/threadedComment2.xml><?xml version="1.0" encoding="utf-8"?>
<tc2018:ThreadedComments xmlns:tc2018="http://schemas.microsoft.com/office/spreadsheetml/2018/threadedcomments" xmlns:mc="http://schemas.openxmlformats.org/markup-compatibility/2006" mc:Ignorable="tc2018">
  <tc2018:threadedComment ref="J119" dT="2026-03-18T07:30:27Z" personId="{09654B49-F8EE-42A4-9AF6-4C971A1416DB}" id="{42D7276E-927F-42A5-BB5F-D0D609165B39}">
    <tc2018:text>客户未确认</tc2018:text>
  </tc2018:threadedComment>
  <tc2018:threadedComment ref="D295" dT="2026-04-02T08:13:31Z" personId="{09654B49-F8EE-42A4-9AF6-4C971A1416DB}" id="{7B059F60-8AFA-4DA3-A074-BFF5E236A05A}">
    <tc2018:text>签A推B</tc2018:text>
  </tc2018:threadedComment>
  <tc2018:threadedComment ref="O284" dT="2026-04-02T06:56:22Z" personId="{09654B49-F8EE-42A4-9AF6-4C971A1416DB}" id="{5E0E8E44-3AC1-4B9C-BFEF-95998A100DB5}">
    <tc2018:text>客户未回复，需要等客户找人</tc2018:text>
  </tc2018:threadedComment>
  <tc2018:threadedComment ref="O220" dT="2026-04-02T01:08:14Z" personId="{09654B49-F8EE-42A4-9AF6-4C971A1416DB}" id="{5CFAD173-CD38-4EB6-9B28-B6F2CAB600AE}">
    <tc2018:text>商务侧要求客户网站建设好后再开启服务</tc2018:text>
  </tc2018:threadedComment>
  <tc2018:threadedComment ref="L16" dT="2026-03-20T01:56:48Z" personId="{09654B49-F8EE-42A4-9AF6-4C971A1416DB}" id="{E9292E74-E385-4226-A9DD-5112B6233472}">
    <tc2018:text>客户侧人手不足</tc2018:text>
  </tc2018:threadedComment>
  <tc2018:threadedComment ref="H229" dT="2026-04-02T01:30:14Z" personId="{09654B49-F8EE-42A4-9AF6-4C971A1416DB}" id="{020D52CB-DC35-4B89-83D6-6B3D2303F4AE}">
    <tc2018:text>客户侧时间推后</tc2018:text>
  </tc2018:threadedComment>
  <tc2018:threadedComment ref="H89" dT="2026-03-18T06:13:43Z" personId="{09654B49-F8EE-42A4-9AF6-4C971A1416DB}" id="{AA40497A-BB80-4EFD-BCE4-6A4B27A6E4CD}">
    <tc2018:text>商务理解错误，以为可以推迟开启服务</tc2018:text>
  </tc2018:threadedComment>
  <tc2018:threadedComment ref="H112" dT="2026-03-18T06:27:45Z" personId="{09654B49-F8EE-42A4-9AF6-4C971A1416DB}" id="{64F11396-5AE2-48B7-8BA1-92DD679FA6B3}">
    <tc2018:text>商务拉群迟了</tc2018:text>
  </tc2018:threadedComment>
  <tc2018:threadedComment ref="H82" dT="2026-03-18T06:08:20Z" personId="{09654B49-F8EE-42A4-9AF6-4C971A1416DB}" id="{6531E595-C080-4E8C-92A3-83B47B3CDE20}">
    <tc2018:text>商务迟迟不拉群</tc2018:text>
  </tc2018:threadedComment>
  <tc2018:threadedComment ref="H226" dT="2026-03-20T01:48:00Z" personId="{09654B49-F8EE-42A4-9AF6-4C971A1416DB}" id="{D68A7F0E-BC7D-4321-806B-3418B7CE01E9}">
    <tc2018:text>个人用户</tc2018:text>
  </tc2018:threadedComment>
  <tc2018:threadedComment ref="H223" dT="2026-04-02T01:15:43Z" personId="{09654B49-F8EE-42A4-9AF6-4C971A1416DB}" id="{28E90409-6821-45F5-BB67-478C0931197C}">
    <tc2018:text>客户联系不上</tc2018:text>
  </tc2018:threadedComment>
  <tc2018:threadedComment ref="H180" dT="2026-03-30T08:14:22Z" personId="{09654B49-F8EE-42A4-9AF6-4C971A1416DB}" id="{C082F388-2669-45F2-B571-491CDF8D76F1}">
    <tc2018:text>客户陪跑退款，下单新的陪跑，没付款</tc2018:text>
  </tc2018:threadedComment>
  <tc2018:threadedComment ref="H296" dT="2026-04-02T08:23:38Z" personId="{09654B49-F8EE-42A4-9AF6-4C971A1416DB}" id="{69A76597-C3F9-4E62-B5B6-DA79EAA6BA14}">
    <tc2018:text>客户侧不拉群</tc2018:text>
  </tc2018:threadedComment>
  <tc2018:threadedComment ref="D309" dT="2026-04-02T09:48:53Z" personId="{09654B49-F8EE-42A4-9AF6-4C971A1416DB}" id="{78E7E3D2-F58F-4FA3-B270-CBCC8B1DF6B0}">
    <tc2018:text>客户要更换主体签约</tc2018:text>
  </tc2018:threadedComment>
  <tc2018:threadedComment ref="L284" dT="2026-04-02T06:55:26Z" personId="{09654B49-F8EE-42A4-9AF6-4C971A1416DB}" id="{CB4FB738-B154-4F59-AC47-2101F6144D01}">
    <tc2018:text>客户未回复确认权益，已催</tc2018:text>
  </tc2018:threadedComment>
  <tc2018:threadedComment ref="H202" dT="2026-03-19T07:49:15Z" personId="{09654B49-F8EE-42A4-9AF6-4C971A1416DB}" id="{C52F7956-C5F5-4197-9A57-CCF0B3A65779}">
    <tc2018:text>个人购买，特殊情况，和销售核实中</tc2018:text>
  </tc2018:threadedComment>
  <tc2018:threadedComment ref="H123" dT="2026-03-18T07:43:25Z" personId="{09654B49-F8EE-42A4-9AF6-4C971A1416DB}" id="{CF15554D-F885-4444-9681-39B386C7A6F0}">
    <tc2018:text>客户想签A推B不允许商务协商中</tc2018:text>
  </tc2018:threadedComment>
  <tc2018:threadedComment ref="H225" dT="2026-03-20T01:47:52Z" personId="{09654B49-F8EE-42A4-9AF6-4C971A1416DB}" id="{7379E13B-DDC1-4EDD-8885-76E344520BD2}">
    <tc2018:text>个人用户</tc2018:text>
  </tc2018:threadedComment>
  <tc2018:threadedComment ref="B225" dT="2026-04-07T01:44:39Z" personId="{7E47D233-8628-4D8B-88AF-7FCFC5398EEE}" id="{9A8451FD-A8FE-492A-B957-4BD9B7136ED6}">
    <tc2018:text>谭婷</tc2018:text>
  </tc2018:threadedComment>
  <tc2018:threadedComment ref="H183" dT="2026-03-30T08:08:38Z" personId="{09654B49-F8EE-42A4-9AF6-4C971A1416DB}" id="{9D9353BE-4573-44AE-806D-5810AA0DD4D5}">
    <tc2018:text>客户原因推迟</tc2018:text>
  </tc2018:threadedComment>
  <tc2018:threadedComment ref="H85" dT="2026-03-18T06:08:45Z" personId="{09654B49-F8EE-42A4-9AF6-4C971A1416DB}" id="{C4FABC56-D5C4-4ECA-A0F4-6E3A3F616A67}">
    <tc2018:text>客户原因推迟</tc2018:text>
  </tc2018:threadedComment>
  <tc2018:threadedComment ref="H50" dT="2026-03-18T05:33:45Z" personId="{09654B49-F8EE-42A4-9AF6-4C971A1416DB}" id="{B210BC68-17F9-459E-ADCE-275C7821CDFB}">
    <tc2018:text>客户侧出国了暂时联系不上</tc2018:text>
  </tc2018:threadedComment>
  <tc2018:threadedComment ref="H184" dT="2026-03-30T08:13:24Z" personId="{09654B49-F8EE-42A4-9AF6-4C971A1416DB}" id="{9945845E-7DB6-4AEA-9158-3177EB5365FA}">
    <tc2018:text>商务迟迟不拉群</tc2018:text>
  </tc2018:threadedComment>
</tc2018:ThreadedComments>
</file>

<file path=xl/threadedComments/threadedComment3.xml><?xml version="1.0" encoding="utf-8"?>
<tc2018:ThreadedComments xmlns:tc2018="http://schemas.microsoft.com/office/spreadsheetml/2018/threadedcomments" xmlns:mc="http://schemas.openxmlformats.org/markup-compatibility/2006" mc:Ignorable="tc2018">
  <tc2018:threadedComment ref="B327" dT="2026-04-07T08:32:29Z" personId="{1BBAE36A-CCA2-4EED-8BB6-6B4B268FCE95}" id="{F4FEBD7F-8701-4CF9-964F-6F68F6173146}">
    <tc2018:text>原公司名称：济南格拉斯进出口贸易有限公司</tc2018:text>
  </tc2018:threadedComment>
  <tc2018:threadedComment ref="B283" dT="2026-04-09T09:50:47Z" personId="{09654B49-F8EE-42A4-9AF6-4C971A1416DB}" id="{D67AEEB2-2D75-4D04-AF58-024BECBC54CF}">
    <tc2018:text>签A推B，
A公司：吴江君和纺织电器有限公司B公司：苏州君和技术有限公司</tc2018:text>
  </tc2018:threadedComment>
  <tc2018:threadedComment ref="B371" dT="2026-04-07T08:35:49Z" personId="{09654B49-F8EE-42A4-9AF6-4C971A1416DB}" id="{B6EE0486-013C-40C9-8288-C7BB559DBC97}">
    <tc2018:text>原名称：山东聊城骞昊钢材有限公司</tc2018:text>
  </tc2018:threadedComment>
  <tc2018:threadedComment ref="B371" dT="2026-04-13T05:35:43Z" personId="{09654B49-F8EE-42A4-9AF6-4C971A1416DB}" id="{0EB5B75B-BD1A-45E0-91FA-A38F3702C686}" parentId="{B6EE0486-013C-40C9-8288-C7BB559DBC97}">
    <tc2018:text>现名称：山东骞昊润淼进出口有限公司</tc2018:text>
  </tc2018:threadedComment>
  <tc2018:threadedComment ref="B377" dT="2026-04-09T09:46:43Z" personId="{09654B49-F8EE-42A4-9AF6-4C971A1416DB}" id="{E30BD1E6-E560-4D72-911D-25151C557A73}">
    <tc2018:text>A公司：楚辰志通（湖北）汽车销售有限公司
B公司：楚胜汽车集团有限公司</tc2018:text>
  </tc2018:threadedComment>
  <tc2018:threadedComment ref="B445" dT="2026-04-09T09:31:42Z" personId="{09654B49-F8EE-42A4-9AF6-4C971A1416DB}" id="{89CF1E89-D197-4E68-B67F-E320479B4912}">
    <tc2018:text>签A推B</tc2018:text>
  </tc2018:threadedComment>
  <tc2018:threadedComment ref="B445" dT="2026-04-10T02:13:05Z" personId="{0413415B-C948-41E5-937D-A3AFE6815FA1}" id="{1E9CD294-1A8E-4769-A933-9464EE86723D}" parentId="{89CF1E89-D197-4E68-B67F-E320479B4912}">
    <tc2018:text>签约公司：青岛高宠宠物食品有限公司 
推广公司：青岛誉康宠物食品有限公司</tc2018:text>
  </tc2018:threadedComment>
  <tc2018:threadedComment ref="B293" dT="2026-04-09T09:53:31Z" personId="{09654B49-F8EE-42A4-9AF6-4C971A1416DB}" id="{6A0CD19F-7DCE-4EB2-84FF-F4736C6AE90D}">
    <tc2018:text>签A推B：
A公司：山东森诺医药科技有限公司
B公司：约灵治疗实验室</tc2018:text>
  </tc2018:threadedComment>
  <tc2018:threadedComment ref="B276" dT="2026-04-09T09:49:59Z" personId="{09654B49-F8EE-42A4-9AF6-4C971A1416DB}" id="{A5AF61BB-4F80-4F14-B2C7-E67C9BD5E090}">
    <tc2018:text>签A推B：
A公司：合肥市瑶海区浩腾工程机械经营部
B公司：安徽浩岷工程机械有限公司</tc2018:text>
  </tc2018:threadedComment>
  <tc2018:threadedComment ref="B178" dT="2026-03-31T01:32:52Z" personId="{09654B49-F8EE-42A4-9AF6-4C971A1416DB}" id="{55A9C317-CCFB-42A2-8A69-29EE3BC6072B}">
    <tc2018:text>3月31日增购陪跑</tc2018:text>
  </tc2018:threadedComment>
  <tc2018:threadedComment ref="B178" dT="2026-03-31T01:32:59Z" personId="{09654B49-F8EE-42A4-9AF6-4C971A1416DB}" id="{ED9A7E2C-B9D6-476B-B9B3-05208F22EE47}" parentId="{55A9C317-CCFB-42A2-8A69-29EE3BC6072B}">
    <tc2018:text>3月12日购买的工具</tc2018:text>
  </tc2018:threadedComment>
  <tc2018:threadedComment ref="B38" dT="2026-04-03T07:42:22Z" personId="{09654B49-F8EE-42A4-9AF6-4C971A1416DB}" id="{E1594110-872F-4907-8073-658D86433E3B}">
    <tc2018:text>2月27日下单购买一个月
4月3日又下单购买一个月</tc2018:text>
  </tc2018:threadedComment>
  <tc2018:threadedComment ref="B223" dT="2026-04-01T07:47:55Z" personId="{09654B49-F8EE-42A4-9AF6-4C971A1416DB}" id="{DEE61CE7-515A-4F70-9E27-B0B7DCF19A57}">
    <tc2018:text>客户已退款</tc2018:text>
  </tc2018:threadedComment>
  <tc2018:threadedComment ref="B223" dT="2026-04-01T07:48:30Z" personId="{09654B49-F8EE-42A4-9AF6-4C971A1416DB}" id="{70391C8C-3455-46E3-BD55-9165A53D804B}" parentId="{DEE61CE7-515A-4F70-9E27-B0B7DCF19A57}">
    <tc2018:text>历史客成经理为：谭婷</tc2018:text>
  </tc2018:threadedComment>
  <tc2018:threadedComment ref="B133" dT="2026-04-09T09:48:18Z" personId="{09654B49-F8EE-42A4-9AF6-4C971A1416DB}" id="{D5AD5C9B-423F-4EA4-BE91-C94A8DB19455}">
    <tc2018:text>A公司：广东喜安居卫浴有限公司
B公司：Great Sink LLC</tc2018:text>
  </tc2018:threadedComment>
  <tc2018:threadedComment ref="B37" dT="2026-04-08T01:29:20Z" personId="{09654B49-F8EE-42A4-9AF6-4C971A1416DB}" id="{8A054177-267F-487F-9EAA-F9974F39CA00}">
    <tc2018:text>系统名称：合肥燊智商贸有限公司</tc2018:text>
  </tc2018:threadedComment>
  <tc2018:threadedComment ref="B72" dT="2026-04-01T07:50:32Z" personId="{09654B49-F8EE-42A4-9AF6-4C971A1416DB}" id="{D4D4CA10-B0A0-4153-9130-5740A0A63DEF}">
    <tc2018:text>客户已退款，历史服务客成：谭婷</tc2018:text>
  </tc2018:threadedComment>
  <tc2018:threadedComment ref="B121" dT="2026-04-09T09:45:22Z" personId="{09654B49-F8EE-42A4-9AF6-4C971A1416DB}" id="{8F9B2DAE-C181-4A5C-9CFB-86F1CBB254B9}">
    <tc2018:text>A公司：天津新禾国际经贸有限公司
B公司：天津新禾食品有限公司</tc2018:text>
  </tc2018:threadedComment>
  <tc2018:threadedComment ref="F27" dT="2026-02-28T03:18:09Z" personId="{7E47D233-8628-4D8B-88AF-7FCFC5398EEE}" id="{009898A3-FBD9-49E8-BA9C-FBE99DD19059}">
    <tc2018:text>重点种子客户</tc2018:text>
  </tc2018:threadedComment>
  <tc2018:threadedComment ref="B82" dT="2026-04-01T07:51:06Z" personId="{09654B49-F8EE-42A4-9AF6-4C971A1416DB}" id="{D7136C64-3B70-4062-AF3B-9AA4387A1563}">
    <tc2018:text>客户之前退款，后又重新下单，</tc2018:text>
  </tc2018:threadedComment>
  <tc2018:threadedComment ref="B83" dT="2026-04-09T09:42:50Z" personId="{09654B49-F8EE-42A4-9AF6-4C971A1416DB}" id="{6C20F6CE-17BC-4C73-957E-28467C6E8F38}">
    <tc2018:text>签A推B
A公司：湖北龙瑞铝业有限公司
B公司：河南天冠铝业有限公司</tc2018:text>
  </tc2018:threadedComment>
</tc2018:ThreadedComments>
</file>

<file path=xl/worksheets/_rels/sheet1.xml.rels><?xml version="1.0" encoding="UTF-8" standalone="yes"?><Relationships xmlns="http://schemas.openxmlformats.org/package/2006/relationships"><Relationship Id="rId2" Type="http://schemas.microsoft.com/office/2017/10/relationships/threadedComment" Target="../threadedComments/threadedComment3.xml" /><Relationship Id="rId4" Type="http://schemas.openxmlformats.org/officeDocument/2006/relationships/drawing" Target="../drawings/drawing1.xml" /><Relationship Id="rId3" Type="http://schemas.openxmlformats.org/officeDocument/2006/relationships/hyperlink" Target="https://www.instagram.com/small_lakes2/" TargetMode="External"/><Relationship Id="rId0" Type="http://schemas.openxmlformats.org/officeDocument/2006/relationships/vmlDrawing" Target="../drawings/vmlDrawing3.vml" /><Relationship Id="rId1" Type="http://schemas.openxmlformats.org/officeDocument/2006/relationships/comments" Target="../comments3.xml" /></Relationships>
</file>

<file path=xl/worksheets/_rels/sheet2.xml.rels><?xml version="1.0" encoding="UTF-8" standalone="yes"?><Relationships xmlns="http://schemas.openxmlformats.org/package/2006/relationships"><Relationship Id="rId3" Type="http://schemas.openxmlformats.org/officeDocument/2006/relationships/hyperlink" Target="http://&#26684;&#28070;&#24605;&#26426;&#26800;.&#24352;&#29577;&#23425;" TargetMode="External"/><Relationship Id="rId2" Type="http://schemas.openxmlformats.org/officeDocument/2006/relationships/pivotTable" Target="../pivotTables/pivotTable3.xml" /><Relationship Id="rId0" Type="http://schemas.openxmlformats.org/officeDocument/2006/relationships/pivotTable" Target="../pivotTables/pivotTable1.xml" /><Relationship Id="rId1" Type="http://schemas.openxmlformats.org/officeDocument/2006/relationships/pivotTable" Target="../pivotTables/pivotTable2.xml" /></Relationships>
</file>

<file path=xl/worksheets/_rels/sheet5.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1" Type="http://schemas.openxmlformats.org/officeDocument/2006/relationships/comments" Target="../comments1.xml" /></Relationships>
</file>

<file path=xl/worksheets/_rels/sheet6.xml.rels><?xml version="1.0" encoding="UTF-8" standalone="yes"?><Relationships xmlns="http://schemas.openxmlformats.org/package/2006/relationships"><Relationship Id="rId2" Type="http://schemas.microsoft.com/office/2017/10/relationships/threadedComment" Target="../threadedComments/threadedComment2.xml" /><Relationship Id="rId0" Type="http://schemas.openxmlformats.org/officeDocument/2006/relationships/vmlDrawing" Target="../drawings/vmlDrawing2.vml" /><Relationship Id="rId1" Type="http://schemas.openxmlformats.org/officeDocument/2006/relationships/comments" Target="../comments2.xml" /></Relationships>
</file>

<file path=xl/worksheets/sheet1.xml><?xml version="1.0" encoding="utf-8"?>
<worksheet xmlns:r="http://schemas.openxmlformats.org/officeDocument/2006/relationships" xmlns="http://schemas.openxmlformats.org/spreadsheetml/2006/main">
  <sheetPr codeName="总表"/>
  <dimension ref="AM526"/>
  <sheetViews>
    <sheetView showGridLines="true" workbookViewId="0">
      <pane xSplit="2" ySplit="1" topLeftCell="C2" state="frozen"/>
    </sheetView>
  </sheetViews>
  <cols>
    <col min="1" max="1" width="7.42188" style="97" customWidth="true"/>
    <col min="2" max="2" width="40.1914" style="97" customWidth="true"/>
    <col min="3" max="3" width="20.3633" style="97" customWidth="true"/>
    <col min="4" max="4" width="11.8711" style="147" customWidth="true"/>
    <col min="5" max="5" width="10.6523" style="97" customWidth="true"/>
    <col min="6" max="6" width="11.7344" style="97" customWidth="true"/>
    <col min="7" max="7" width="27.7812" style="97" customWidth="true"/>
    <col min="8" max="8" width="24.0117" style="97" customWidth="true"/>
    <col min="9" max="9" width="9.71094" style="97" customWidth="true"/>
    <col min="10" max="10" width="14.7031" style="97" hidden="true" customWidth="true"/>
    <col min="11" max="11" width="11.8711" style="434" customWidth="true"/>
    <col min="12" max="12" width="15.9219" style="434" customWidth="true"/>
    <col min="13" max="13" width="19.293" style="97" customWidth="true"/>
    <col min="14" max="14" width="10.5234" style="97" customWidth="true"/>
    <col min="15" max="15" width="15.6523" style="435" customWidth="true"/>
    <col min="16" max="16" width="10.3828" style="435" customWidth="true"/>
    <col min="17" max="17" width="13.4922" style="133" customWidth="true"/>
    <col min="18" max="19" width="28.3242" style="133" customWidth="true"/>
    <col min="20" max="20" width="28.3242" style="133" customWidth="true"/>
    <col min="21" max="21" width="11.6016" style="133" customWidth="true"/>
    <col min="22" max="22" width="28.1914" style="133" customWidth="true"/>
    <col min="23" max="23" width="28.332" style="133" customWidth="true"/>
    <col min="24" max="24" width="24.5508" style="133" customWidth="true"/>
    <col min="25" max="25" width="13.6719" style="133" customWidth="true"/>
    <col min="26" max="31" width="13.6719" style="133" customWidth="true"/>
    <col min="32" max="36" width="13.6719" style="133"/>
    <col min="37" max="39" width="13.6719" style="97"/>
  </cols>
  <sheetData>
    <row r="1" spans="1:39" s="15" customFormat="true">
      <c r="A1" s="85" t="s">
        <v>1</v>
      </c>
      <c r="B1" s="86" t="s">
        <v>588</v>
      </c>
      <c r="C1" s="85" t="s">
        <v>589</v>
      </c>
      <c r="D1" s="87" t="s">
        <v>590</v>
      </c>
      <c r="E1" s="85" t="s">
        <v>591</v>
      </c>
      <c r="F1" s="85" t="s">
        <v>592</v>
      </c>
      <c r="G1" s="85" t="s">
        <v>593</v>
      </c>
      <c r="H1" s="85" t="s">
        <v>594</v>
      </c>
      <c r="I1" s="88" t="s">
        <v>595</v>
      </c>
      <c r="J1" s="85" t="s">
        <v>596</v>
      </c>
      <c r="K1" s="89" t="s">
        <v>597</v>
      </c>
      <c r="L1" s="90" t="s">
        <v>598</v>
      </c>
      <c r="M1" s="91" t="s">
        <v>599</v>
      </c>
      <c r="N1" s="85" t="s">
        <v>600</v>
      </c>
      <c r="O1" s="92" t="s">
        <v>601</v>
      </c>
      <c r="P1" s="92" t="s">
        <v>602</v>
      </c>
      <c r="Q1" s="88" t="s">
        <v>603</v>
      </c>
      <c r="R1" s="93" t="s"/>
      <c r="S1" s="93" t="s"/>
      <c r="T1" s="88" t="s">
        <v>604</v>
      </c>
      <c r="U1" s="85" t="s">
        <v>605</v>
      </c>
      <c r="V1" s="94" t="s">
        <v>12</v>
      </c>
      <c r="W1" s="95" t="s">
        <v>606</v>
      </c>
      <c r="X1" s="96" t="s">
        <v>607</v>
      </c>
      <c r="Y1" s="97" t="s"/>
      <c r="Z1" s="97" t="s"/>
      <c r="AA1" s="98" t="s"/>
      <c r="AB1" s="98" t="s"/>
      <c r="AC1" s="98" t="s"/>
      <c r="AD1" s="98" t="s"/>
      <c r="AE1" s="98" t="s"/>
      <c r="AF1" s="98" t="s"/>
      <c r="AG1" s="98" t="s"/>
      <c r="AH1" s="98" t="s"/>
      <c r="AI1" s="98" t="s"/>
      <c r="AJ1" s="98" t="s"/>
      <c r="AK1" s="85" t="s"/>
      <c r="AL1" s="85" t="s"/>
      <c r="AM1" s="85" t="s"/>
    </row>
    <row r="2" spans="1:39" s="15" customFormat="true">
      <c r="A2" s="98">
        <v>1</v>
      </c>
      <c r="B2" s="99" t="s">
        <v>11</v>
      </c>
      <c r="C2" s="100">
        <v>46077.4723495371</v>
      </c>
      <c r="D2" s="98">
        <v>12</v>
      </c>
      <c r="E2" s="100">
        <v>46077</v>
      </c>
      <c r="F2" s="98" t="s">
        <v>236</v>
      </c>
      <c r="G2" s="98" t="s">
        <v>608</v>
      </c>
      <c r="H2" s="101" t="s">
        <v>12</v>
      </c>
      <c r="I2" s="98" t="s">
        <v>609</v>
      </c>
      <c r="J2" s="98" t="s">
        <f>=_xlfn.TEXTJOIN("+",TRUE,_xlfn._xlws.FILTER(_xlfn.TEXTSPLIT(H2,,"+"),(_xlfn.TEXTSPLIT(H2,,"+")&lt;&gt;"埃米工具")*(_xlfn.TEXTSPLIT(H2,,"+")&lt;&gt;"埃米广告通")))</f>
        <v>12</v>
      </c>
      <c r="K2" s="100">
        <f>=EDATE(C2,D2)</f>
        <v>46442</v>
      </c>
      <c r="L2" s="100">
        <v>46080</v>
      </c>
      <c r="M2" s="102" t="s">
        <v>610</v>
      </c>
      <c r="N2" s="101" t="s">
        <v>611</v>
      </c>
      <c r="O2" s="103" t="s">
        <v>612</v>
      </c>
      <c r="P2" s="103" t="s"/>
      <c r="Q2" s="104" t="s"/>
      <c r="R2" s="105" t="s"/>
      <c r="S2" s="106" t="s"/>
      <c r="T2" s="98" t="s">
        <v>215</v>
      </c>
      <c r="U2" s="98">
        <f>=COUNTIF(F:F,T2)</f>
        <v>82</v>
      </c>
      <c r="V2" s="107">
        <f>=COUNTIFS($F:$F,$T2,$H:$H,$V$1)</f>
        <v>27</v>
      </c>
      <c r="W2" s="107">
        <f>=COUNTIFS($F:$F,$T2,$H:$H,$W$1)</f>
        <v>6</v>
      </c>
      <c r="X2" s="107">
        <f>=COUNTIFS($F:$F,$T2,$H:$H,$X$1)</f>
        <v>49</v>
      </c>
      <c r="Y2" s="108" t="s"/>
      <c r="Z2" s="108" t="s"/>
      <c r="AA2" s="108" t="s"/>
      <c r="AB2" s="108" t="s"/>
      <c r="AC2" s="108" t="s"/>
      <c r="AD2" s="108" t="s"/>
      <c r="AE2" s="108" t="s"/>
      <c r="AF2" s="108" t="s"/>
      <c r="AG2" s="108" t="s"/>
      <c r="AH2" s="108" t="s"/>
      <c r="AI2" s="108" t="s"/>
      <c r="AJ2" s="108" t="s"/>
      <c r="AK2" s="108" t="s"/>
      <c r="AL2" s="108" t="s"/>
      <c r="AM2" s="108" t="s"/>
    </row>
    <row r="3" spans="1:36">
      <c r="A3" s="98">
        <v>2</v>
      </c>
      <c r="B3" s="99" t="s">
        <v>613</v>
      </c>
      <c r="C3" s="100">
        <v>46078.674525463</v>
      </c>
      <c r="D3" s="98">
        <v>12</v>
      </c>
      <c r="E3" s="100">
        <v>46078</v>
      </c>
      <c r="F3" s="98" t="s">
        <v>234</v>
      </c>
      <c r="G3" s="98" t="s">
        <v>614</v>
      </c>
      <c r="H3" s="101" t="s">
        <v>607</v>
      </c>
      <c r="I3" s="98" t="s">
        <v>609</v>
      </c>
      <c r="J3" s="98" t="s">
        <f>=_xlfn.TEXTJOIN("+",TRUE,_xlfn._xlws.FILTER(_xlfn.TEXTSPLIT(H3,,"+"),(_xlfn.TEXTSPLIT(H3,,"+")&lt;&gt;"埃米工具")*(_xlfn.TEXTSPLIT(H3,,"+")&lt;&gt;"埃米广告通")))</f>
        <v>607</v>
      </c>
      <c r="K3" s="109">
        <f>=EDATE(C3,D3)</f>
        <v>46443</v>
      </c>
      <c r="L3" s="109" t="s"/>
      <c r="M3" s="102" t="s"/>
      <c r="N3" s="101" t="s">
        <v>611</v>
      </c>
      <c r="O3" s="110" t="s">
        <v>615</v>
      </c>
      <c r="P3" s="110" t="s"/>
      <c r="Q3" s="111" t="s"/>
      <c r="R3" s="105" t="s"/>
      <c r="S3" s="105" t="s"/>
      <c r="T3" s="97" t="s">
        <v>236</v>
      </c>
      <c r="U3" s="98">
        <f>=COUNTIF(F:F,T3)</f>
        <v>82</v>
      </c>
      <c r="V3" s="107">
        <f>=COUNTIFS($F:$F,$T3,$H:$H,$V$1)</f>
        <v>28</v>
      </c>
      <c r="W3" s="107">
        <f>=COUNTIFS($F:$F,$T3,$H:$H,$W$1)</f>
        <v>5</v>
      </c>
      <c r="X3" s="107">
        <f>=COUNTIFS($F:$F,$T3,$H:$H,$X$1)</f>
        <v>49</v>
      </c>
      <c r="Z3" s="98" t="s"/>
      <c r="AA3" s="112" t="s"/>
      <c r="AB3" s="98" t="s"/>
      <c r="AC3" s="98" t="s"/>
      <c r="AD3" s="98" t="s"/>
      <c r="AE3" s="98" t="s"/>
      <c r="AF3" s="98" t="s"/>
      <c r="AG3" s="98" t="s"/>
      <c r="AH3" s="98" t="s"/>
      <c r="AI3" s="98" t="s"/>
      <c r="AJ3" s="98" t="s"/>
    </row>
    <row r="4" spans="1:36">
      <c r="A4" s="98">
        <v>3</v>
      </c>
      <c r="B4" s="99" t="s">
        <v>616</v>
      </c>
      <c r="C4" s="100">
        <v>46078.6947106482</v>
      </c>
      <c r="D4" s="98">
        <v>12</v>
      </c>
      <c r="E4" s="100">
        <v>46078</v>
      </c>
      <c r="F4" s="98" t="s">
        <v>215</v>
      </c>
      <c r="G4" s="98" t="s">
        <v>617</v>
      </c>
      <c r="H4" s="101" t="s">
        <v>607</v>
      </c>
      <c r="I4" s="98" t="s">
        <v>609</v>
      </c>
      <c r="J4" s="98" t="s">
        <f>=_xlfn.TEXTJOIN("+",TRUE,_xlfn._xlws.FILTER(_xlfn.TEXTSPLIT(H4,,"+"),(_xlfn.TEXTSPLIT(H4,,"+")&lt;&gt;"埃米工具")*(_xlfn.TEXTSPLIT(H4,,"+")&lt;&gt;"埃米广告通")))</f>
        <v>607</v>
      </c>
      <c r="K4" s="109">
        <f>=EDATE(C4,D4)</f>
        <v>46443</v>
      </c>
      <c r="L4" s="109" t="s"/>
      <c r="M4" s="102" t="s"/>
      <c r="N4" s="101" t="s">
        <v>611</v>
      </c>
      <c r="O4" s="110" t="s">
        <v>618</v>
      </c>
      <c r="P4" s="110" t="s"/>
      <c r="Q4" s="111" t="s"/>
      <c r="R4" s="105" t="s"/>
      <c r="S4" s="105" t="s"/>
      <c r="T4" s="97" t="s">
        <v>224</v>
      </c>
      <c r="U4" s="97">
        <f>=COUNTIF(F:F,T4)</f>
        <v>81</v>
      </c>
      <c r="V4" s="107">
        <f>=COUNTIFS($F:$F,$T4,$H:$H,$V$1)</f>
        <v>25</v>
      </c>
      <c r="W4" s="107">
        <f>=COUNTIFS($F:$F,$T4,$H:$H,$W$1)</f>
        <v>3</v>
      </c>
      <c r="X4" s="107">
        <f>=COUNTIFS($F:$F,$T4,$H:$H,$X$1)</f>
        <v>53</v>
      </c>
      <c r="Z4" s="98" t="s"/>
      <c r="AA4" s="112" t="s"/>
      <c r="AB4" s="98" t="s"/>
      <c r="AC4" s="98" t="s"/>
      <c r="AD4" s="98" t="s"/>
      <c r="AE4" s="98" t="s"/>
      <c r="AF4" s="98" t="s"/>
      <c r="AG4" s="98" t="s"/>
      <c r="AH4" s="98" t="s"/>
      <c r="AI4" s="98" t="s"/>
      <c r="AJ4" s="98" t="s"/>
    </row>
    <row r="5" spans="1:36">
      <c r="A5" s="98">
        <v>4</v>
      </c>
      <c r="B5" s="99" t="s">
        <v>619</v>
      </c>
      <c r="C5" s="100">
        <v>46078.6606018519</v>
      </c>
      <c r="D5" s="98">
        <v>12</v>
      </c>
      <c r="E5" s="100">
        <v>46078</v>
      </c>
      <c r="F5" s="98" t="s">
        <v>234</v>
      </c>
      <c r="G5" s="98" t="s">
        <v>620</v>
      </c>
      <c r="H5" s="101" t="s">
        <v>607</v>
      </c>
      <c r="I5" s="98" t="s">
        <v>609</v>
      </c>
      <c r="J5" s="98" t="s">
        <f>=_xlfn.TEXTJOIN("+",TRUE,_xlfn._xlws.FILTER(_xlfn.TEXTSPLIT(H5,,"+"),(_xlfn.TEXTSPLIT(H5,,"+")&lt;&gt;"埃米工具")*(_xlfn.TEXTSPLIT(H5,,"+")&lt;&gt;"埃米广告通")))</f>
        <v>607</v>
      </c>
      <c r="K5" s="109">
        <f>=EDATE(C5,D5)</f>
        <v>46443</v>
      </c>
      <c r="L5" s="109" t="s"/>
      <c r="M5" s="102" t="s"/>
      <c r="N5" s="101" t="s">
        <v>611</v>
      </c>
      <c r="O5" s="110" t="s">
        <v>621</v>
      </c>
      <c r="P5" s="110">
        <f>=7/92</f>
        <v>0.0760869565217392</v>
      </c>
      <c r="Q5" s="111" t="s"/>
      <c r="R5" s="105" t="s"/>
      <c r="S5" s="105" t="s"/>
      <c r="T5" s="97" t="s">
        <v>234</v>
      </c>
      <c r="U5" s="98">
        <f>=COUNTIF(F:F,T5)</f>
        <v>82</v>
      </c>
      <c r="V5" s="107">
        <f>=COUNTIFS($F:$F,$T5,$H:$H,$V$1)</f>
        <v>26</v>
      </c>
      <c r="W5" s="107">
        <f>=COUNTIFS($F:$F,$T5,$H:$H,$W$1)</f>
        <v>4</v>
      </c>
      <c r="X5" s="107">
        <f>=COUNTIFS($F:$F,$T5,$H:$H,$X$1)</f>
        <v>52</v>
      </c>
      <c r="Z5" s="98" t="s"/>
      <c r="AA5" s="112" t="s"/>
      <c r="AB5" s="98" t="s"/>
      <c r="AC5" s="98" t="s"/>
      <c r="AD5" s="98" t="s"/>
      <c r="AE5" s="98" t="s"/>
      <c r="AF5" s="98" t="s"/>
      <c r="AG5" s="98" t="s"/>
      <c r="AH5" s="98" t="s"/>
      <c r="AI5" s="98" t="s"/>
      <c r="AJ5" s="98" t="s"/>
    </row>
    <row r="6" spans="1:36">
      <c r="A6" s="98">
        <v>5</v>
      </c>
      <c r="B6" s="99" t="s">
        <v>307</v>
      </c>
      <c r="C6" s="100">
        <v>46078.6769212962</v>
      </c>
      <c r="D6" s="98">
        <v>12</v>
      </c>
      <c r="E6" s="100">
        <v>46078</v>
      </c>
      <c r="F6" s="98" t="s">
        <v>215</v>
      </c>
      <c r="G6" s="98" t="s">
        <v>622</v>
      </c>
      <c r="H6" s="101" t="s">
        <v>607</v>
      </c>
      <c r="I6" s="98" t="s">
        <v>609</v>
      </c>
      <c r="J6" s="98" t="s">
        <f>=_xlfn.TEXTJOIN("+",TRUE,_xlfn._xlws.FILTER(_xlfn.TEXTSPLIT(H6,,"+"),(_xlfn.TEXTSPLIT(H6,,"+")&lt;&gt;"埃米工具")*(_xlfn.TEXTSPLIT(H6,,"+")&lt;&gt;"埃米广告通")))</f>
        <v>607</v>
      </c>
      <c r="K6" s="109">
        <f>=EDATE(C6,D6)</f>
        <v>46443</v>
      </c>
      <c r="L6" s="109" t="s"/>
      <c r="M6" s="102" t="s"/>
      <c r="N6" s="101" t="s">
        <v>611</v>
      </c>
      <c r="O6" s="110" t="s">
        <v>623</v>
      </c>
      <c r="P6" s="110">
        <f>=56/92</f>
        <v>0.608695652173913</v>
      </c>
      <c r="Q6" s="111" t="s"/>
      <c r="R6" s="105" t="s"/>
      <c r="S6" s="105" t="s"/>
      <c r="T6" s="97" t="s">
        <v>228</v>
      </c>
      <c r="U6" s="98">
        <f>=COUNTIF(F:F,T6)</f>
        <v>73</v>
      </c>
      <c r="V6" s="113">
        <f>=COUNTIFS($F:$F,$T6,$H:$H,$V$1)</f>
        <v>26</v>
      </c>
      <c r="W6" s="113">
        <f>=COUNTIFS($F:$F,$T6,$H:$H,$W$1)</f>
        <v>7</v>
      </c>
      <c r="X6" s="113">
        <f>=COUNTIFS($F:$F,$T6,$H:$H,$X$1)</f>
        <v>40</v>
      </c>
      <c r="Z6" s="98" t="s"/>
      <c r="AA6" s="98" t="s"/>
      <c r="AB6" s="98" t="s"/>
      <c r="AC6" s="98" t="s"/>
      <c r="AD6" s="98" t="s"/>
      <c r="AE6" s="98" t="s"/>
      <c r="AF6" s="98" t="s"/>
      <c r="AG6" s="98" t="s"/>
      <c r="AH6" s="98" t="s"/>
      <c r="AI6" s="98" t="s"/>
      <c r="AJ6" s="98" t="s"/>
    </row>
    <row r="7" spans="1:36">
      <c r="A7" s="98">
        <v>6</v>
      </c>
      <c r="B7" s="99" t="s">
        <v>624</v>
      </c>
      <c r="C7" s="100">
        <v>46078.6094791667</v>
      </c>
      <c r="D7" s="98">
        <v>12</v>
      </c>
      <c r="E7" s="100">
        <v>46078</v>
      </c>
      <c r="F7" s="98" t="s">
        <v>234</v>
      </c>
      <c r="G7" s="98" t="s">
        <v>625</v>
      </c>
      <c r="H7" s="101" t="s">
        <v>607</v>
      </c>
      <c r="I7" s="98" t="s">
        <v>609</v>
      </c>
      <c r="J7" s="98" t="s">
        <f>=_xlfn.TEXTJOIN("+",TRUE,_xlfn._xlws.FILTER(_xlfn.TEXTSPLIT(H7,,"+"),(_xlfn.TEXTSPLIT(H7,,"+")&lt;&gt;"埃米工具")*(_xlfn.TEXTSPLIT(H7,,"+")&lt;&gt;"埃米广告通")))</f>
        <v>607</v>
      </c>
      <c r="K7" s="109">
        <f>=EDATE(C7,D7)</f>
        <v>46443</v>
      </c>
      <c r="L7" s="109" t="s"/>
      <c r="M7" s="102" t="s"/>
      <c r="N7" s="101" t="s">
        <v>611</v>
      </c>
      <c r="O7" s="110" t="s">
        <v>626</v>
      </c>
      <c r="P7" s="110" t="s"/>
      <c r="Q7" s="111" t="s"/>
      <c r="R7" s="105" t="s"/>
      <c r="S7" s="114" t="s"/>
      <c r="T7" s="115" t="s">
        <v>277</v>
      </c>
      <c r="U7" s="98">
        <f>=COUNTIF(F:F,T7)</f>
        <v>27</v>
      </c>
      <c r="V7" s="107">
        <f>=COUNTIFS($F:$F,$T7,$H:$H,$V$1)</f>
        <v>6</v>
      </c>
      <c r="W7" s="107">
        <f>=COUNTIFS($F:$F,$T7,$H:$H,$W$1)</f>
        <v>2</v>
      </c>
      <c r="X7" s="107">
        <f>=COUNTIFS($F:$F,$T7,$H:$H,$X$1)</f>
        <v>19</v>
      </c>
      <c r="Z7" s="98" t="s"/>
      <c r="AA7" s="98" t="s"/>
      <c r="AB7" s="98" t="s"/>
      <c r="AC7" s="98" t="s"/>
      <c r="AD7" s="98" t="s"/>
      <c r="AE7" s="98" t="s"/>
      <c r="AF7" s="98" t="s"/>
      <c r="AG7" s="98" t="s"/>
      <c r="AH7" s="98" t="s"/>
      <c r="AI7" s="98" t="s"/>
      <c r="AJ7" s="98" t="s"/>
    </row>
    <row r="8" spans="1:36">
      <c r="A8" s="98">
        <v>7</v>
      </c>
      <c r="B8" s="99" t="s">
        <v>627</v>
      </c>
      <c r="C8" s="100">
        <v>46078.6657175926</v>
      </c>
      <c r="D8" s="98">
        <v>12</v>
      </c>
      <c r="E8" s="100">
        <v>46078</v>
      </c>
      <c r="F8" s="98" t="s">
        <v>215</v>
      </c>
      <c r="G8" s="98" t="s">
        <v>628</v>
      </c>
      <c r="H8" s="101" t="s">
        <v>607</v>
      </c>
      <c r="I8" s="98" t="s">
        <v>609</v>
      </c>
      <c r="J8" s="98" t="s">
        <f>=_xlfn.TEXTJOIN("+",TRUE,_xlfn._xlws.FILTER(_xlfn.TEXTSPLIT(H8,,"+"),(_xlfn.TEXTSPLIT(H8,,"+")&lt;&gt;"埃米工具")*(_xlfn.TEXTSPLIT(H8,,"+")&lt;&gt;"埃米广告通")))</f>
        <v>607</v>
      </c>
      <c r="K8" s="109">
        <f>=EDATE(C8,D8)</f>
        <v>46443</v>
      </c>
      <c r="L8" s="109" t="s"/>
      <c r="M8" s="102" t="s"/>
      <c r="N8" s="101" t="s">
        <v>611</v>
      </c>
      <c r="O8" s="110" t="s">
        <v>629</v>
      </c>
      <c r="P8" s="110" t="s"/>
      <c r="Q8" s="111" t="s"/>
      <c r="R8" s="105" t="s"/>
      <c r="S8" s="114" t="s"/>
      <c r="T8" s="115" t="s">
        <v>239</v>
      </c>
      <c r="U8" s="98">
        <f>=COUNTIF(F:F,T8)</f>
        <v>21</v>
      </c>
      <c r="V8" s="107">
        <f>=COUNTIFS($F:$F,$T8,$H:$H,$V$1)</f>
        <v>7</v>
      </c>
      <c r="W8" s="107">
        <f>=COUNTIFS($F:$F,$T8,$H:$H,$W$1)</f>
        <v>1</v>
      </c>
      <c r="X8" s="107">
        <f>=COUNTIFS($F:$F,$T8,$H:$H,$X$1)</f>
        <v>13</v>
      </c>
      <c r="Z8" s="98" t="s"/>
      <c r="AA8" s="98" t="s"/>
      <c r="AB8" s="98" t="s"/>
      <c r="AC8" s="98" t="s"/>
      <c r="AD8" s="98" t="s"/>
      <c r="AE8" s="98" t="s"/>
      <c r="AF8" s="98" t="s"/>
      <c r="AG8" s="98" t="s"/>
      <c r="AH8" s="98" t="s"/>
      <c r="AI8" s="98" t="s"/>
      <c r="AJ8" s="98" t="s"/>
    </row>
    <row r="9" spans="1:36">
      <c r="A9" s="98">
        <v>8</v>
      </c>
      <c r="B9" s="99" t="s">
        <v>630</v>
      </c>
      <c r="C9" s="100">
        <v>46078.5637384259</v>
      </c>
      <c r="D9" s="98">
        <v>12</v>
      </c>
      <c r="E9" s="100">
        <v>46078</v>
      </c>
      <c r="F9" s="98" t="s">
        <v>215</v>
      </c>
      <c r="G9" s="98" t="s">
        <v>631</v>
      </c>
      <c r="H9" s="101" t="s">
        <v>607</v>
      </c>
      <c r="I9" s="98" t="s">
        <v>609</v>
      </c>
      <c r="J9" s="98" t="s">
        <f>=_xlfn.TEXTJOIN("+",TRUE,_xlfn._xlws.FILTER(_xlfn.TEXTSPLIT(H9,,"+"),(_xlfn.TEXTSPLIT(H9,,"+")&lt;&gt;"埃米工具")*(_xlfn.TEXTSPLIT(H9,,"+")&lt;&gt;"埃米广告通")))</f>
        <v>607</v>
      </c>
      <c r="K9" s="109">
        <f>=EDATE(C9,D9)</f>
        <v>46443</v>
      </c>
      <c r="L9" s="109" t="s"/>
      <c r="M9" s="102" t="s"/>
      <c r="N9" s="101" t="s">
        <v>611</v>
      </c>
      <c r="O9" s="116">
        <v>46084</v>
      </c>
      <c r="P9" s="110" t="s"/>
      <c r="Q9" s="111" t="s"/>
      <c r="R9" s="105" t="s"/>
      <c r="S9" s="106" t="s"/>
      <c r="T9" s="117" t="s">
        <v>245</v>
      </c>
      <c r="U9" s="98">
        <f>=COUNTIF(F:F,T9)</f>
        <v>9</v>
      </c>
      <c r="V9" s="107">
        <f>=COUNTIFS($F:$F,$T9,$H:$H,$V$1)</f>
        <v>6</v>
      </c>
      <c r="W9" s="107">
        <f>=COUNTIFS($F:$F,$T9,$H:$H,$W$1)</f>
        <v>1</v>
      </c>
      <c r="X9" s="113">
        <f>=COUNTIFS($F:$F,$T9,$H:$H,$X$1)</f>
        <v>2</v>
      </c>
      <c r="Z9" s="98" t="s"/>
      <c r="AA9" s="98" t="s"/>
      <c r="AB9" s="98" t="s"/>
      <c r="AC9" s="98" t="s"/>
      <c r="AD9" s="98" t="s"/>
      <c r="AE9" s="98" t="s"/>
      <c r="AF9" s="98" t="s"/>
      <c r="AG9" s="98" t="s"/>
      <c r="AH9" s="98" t="s"/>
      <c r="AI9" s="98" t="s"/>
      <c r="AJ9" s="98" t="s"/>
    </row>
    <row r="10" spans="1:36">
      <c r="A10" s="98">
        <v>9</v>
      </c>
      <c r="B10" s="99" t="s">
        <v>25</v>
      </c>
      <c r="C10" s="100">
        <v>46078.8791319445</v>
      </c>
      <c r="D10" s="98">
        <v>12</v>
      </c>
      <c r="E10" s="118">
        <v>46079</v>
      </c>
      <c r="F10" s="98" t="s">
        <v>234</v>
      </c>
      <c r="G10" s="98" t="s">
        <v>632</v>
      </c>
      <c r="H10" s="119" t="s">
        <v>12</v>
      </c>
      <c r="I10" s="98" t="s">
        <v>609</v>
      </c>
      <c r="J10" s="98" t="s">
        <f>=_xlfn.TEXTJOIN("+",TRUE,_xlfn._xlws.FILTER(_xlfn.TEXTSPLIT(H10,,"+"),(_xlfn.TEXTSPLIT(H10,,"+")&lt;&gt;"埃米工具")*(_xlfn.TEXTSPLIT(H10,,"+")&lt;&gt;"埃米广告通")))</f>
        <v>12</v>
      </c>
      <c r="K10" s="100">
        <f>=EDATE(C10,D10)</f>
        <v>46443</v>
      </c>
      <c r="L10" s="120">
        <v>46091</v>
      </c>
      <c r="M10" s="102" t="s">
        <v>633</v>
      </c>
      <c r="N10" s="101" t="s">
        <v>611</v>
      </c>
      <c r="O10" s="110" t="s">
        <v>634</v>
      </c>
      <c r="P10" s="110" t="s"/>
      <c r="Q10" s="111" t="s"/>
      <c r="R10" s="105" t="s"/>
      <c r="S10" s="106" t="s"/>
      <c r="T10" s="117" t="s">
        <v>242</v>
      </c>
      <c r="U10" s="98">
        <f>=COUNTIF(F:F,T10)</f>
        <v>9</v>
      </c>
      <c r="V10" s="107">
        <f>=COUNTIFS($F:$F,$T10,$H:$H,$V$1)</f>
        <v>3</v>
      </c>
      <c r="W10" s="107">
        <f>=COUNTIFS($F:$F,$T10,$H:$H,$W$1)</f>
        <v>0</v>
      </c>
      <c r="X10" s="113">
        <f>=COUNTIFS($F:$F,$T10,$H:$H,$X$1)</f>
        <v>6</v>
      </c>
      <c r="Z10" s="98" t="s"/>
      <c r="AA10" s="98" t="s"/>
      <c r="AB10" s="98" t="s"/>
      <c r="AC10" s="98" t="s"/>
      <c r="AD10" s="98" t="s"/>
      <c r="AE10" s="98" t="s"/>
      <c r="AF10" s="98" t="s"/>
      <c r="AG10" s="98" t="s"/>
      <c r="AH10" s="98" t="s"/>
      <c r="AI10" s="98" t="s"/>
      <c r="AJ10" s="98" t="s"/>
    </row>
    <row r="11" spans="1:36">
      <c r="A11" s="98">
        <v>10</v>
      </c>
      <c r="B11" s="99" t="s">
        <v>635</v>
      </c>
      <c r="C11" s="100">
        <v>46078.7605324074</v>
      </c>
      <c r="D11" s="98">
        <v>12</v>
      </c>
      <c r="E11" s="118">
        <v>46079</v>
      </c>
      <c r="F11" s="98" t="s">
        <v>234</v>
      </c>
      <c r="G11" s="98" t="s">
        <v>636</v>
      </c>
      <c r="H11" s="119" t="s">
        <v>607</v>
      </c>
      <c r="I11" s="98" t="s">
        <v>609</v>
      </c>
      <c r="J11" s="98" t="s">
        <f>=_xlfn.TEXTJOIN("+",TRUE,_xlfn._xlws.FILTER(_xlfn.TEXTSPLIT(H11,,"+"),(_xlfn.TEXTSPLIT(H11,,"+")&lt;&gt;"埃米工具")*(_xlfn.TEXTSPLIT(H11,,"+")&lt;&gt;"埃米广告通")))</f>
        <v>607</v>
      </c>
      <c r="K11" s="100">
        <f>=EDATE(C11,D11)</f>
        <v>46443</v>
      </c>
      <c r="L11" s="109" t="s"/>
      <c r="M11" s="102" t="s"/>
      <c r="N11" s="101" t="s">
        <v>611</v>
      </c>
      <c r="O11" s="121" t="s">
        <v>637</v>
      </c>
      <c r="P11" s="110" t="s"/>
      <c r="Q11" s="111" t="s"/>
      <c r="R11" s="105" t="s"/>
      <c r="S11" s="106" t="s"/>
      <c r="T11" s="117" t="s">
        <v>638</v>
      </c>
      <c r="U11" s="98">
        <f>=COUNTIF(F:F,T11)</f>
        <v>5</v>
      </c>
      <c r="V11" s="107">
        <f>=COUNTIFS($F:$F,$T11,$H:$H,$V$1)</f>
        <v>3</v>
      </c>
      <c r="W11" s="107">
        <f>=COUNTIFS($F:$F,$T11,$H:$H,$W$1)</f>
        <v>0</v>
      </c>
      <c r="X11" s="107">
        <f>=COUNTIFS($F:$F,$T11,$H:$H,$X$1)</f>
        <v>2</v>
      </c>
      <c r="Z11" s="98" t="s"/>
      <c r="AA11" s="98" t="s"/>
      <c r="AB11" s="98" t="s"/>
      <c r="AC11" s="98" t="s"/>
      <c r="AD11" s="98" t="s"/>
      <c r="AE11" s="98" t="s"/>
      <c r="AF11" s="98" t="s"/>
      <c r="AG11" s="98" t="s"/>
      <c r="AH11" s="98" t="s"/>
      <c r="AI11" s="98" t="s"/>
      <c r="AJ11" s="98" t="s"/>
    </row>
    <row r="12" spans="1:36">
      <c r="A12" s="98">
        <v>11</v>
      </c>
      <c r="B12" s="99" t="s">
        <v>14</v>
      </c>
      <c r="C12" s="100">
        <v>46078.7286574074</v>
      </c>
      <c r="D12" s="98">
        <v>24</v>
      </c>
      <c r="E12" s="118">
        <v>46079</v>
      </c>
      <c r="F12" s="98" t="s">
        <v>234</v>
      </c>
      <c r="G12" s="98" t="s">
        <v>639</v>
      </c>
      <c r="H12" s="119" t="s">
        <v>606</v>
      </c>
      <c r="I12" s="98" t="s">
        <v>609</v>
      </c>
      <c r="J12" s="98" t="s">
        <f>=_xlfn.TEXTJOIN("+",TRUE,_xlfn._xlws.FILTER(_xlfn.TEXTSPLIT(H12,,"+"),(_xlfn.TEXTSPLIT(H12,,"+")&lt;&gt;"埃米工具")*(_xlfn.TEXTSPLIT(H12,,"+")&lt;&gt;"埃米广告通")))</f>
        <v>15</v>
      </c>
      <c r="K12" s="109">
        <f>=EDATE(C12,D12)</f>
        <v>46808</v>
      </c>
      <c r="L12" s="109">
        <v>46080</v>
      </c>
      <c r="M12" s="102" t="s">
        <v>640</v>
      </c>
      <c r="N12" s="101" t="s">
        <v>611</v>
      </c>
      <c r="O12" s="122" t="s">
        <v>641</v>
      </c>
      <c r="P12" s="110" t="s"/>
      <c r="Q12" s="111" t="s"/>
      <c r="R12" s="105" t="s"/>
      <c r="S12" s="106" t="s"/>
      <c r="T12" s="98" t="s">
        <v>642</v>
      </c>
      <c r="U12" s="98">
        <f>=COUNTIF(F:F,T12)</f>
        <v>0</v>
      </c>
      <c r="V12" s="107">
        <f>=COUNTIFS($F:$F,$T12,$H:$H,$V$1)</f>
        <v>0</v>
      </c>
      <c r="W12" s="107">
        <f>=COUNTIFS($F:$F,$T12,$H:$H,$W$1)</f>
        <v>0</v>
      </c>
      <c r="X12" s="107">
        <f>=COUNTIFS($F:$F,$T12,$H:$H,$X$1)</f>
        <v>0</v>
      </c>
      <c r="Z12" s="98" t="s"/>
      <c r="AA12" s="98" t="s"/>
      <c r="AB12" s="98" t="s"/>
      <c r="AC12" s="98" t="s"/>
      <c r="AD12" s="98" t="s"/>
      <c r="AE12" s="98" t="s"/>
      <c r="AF12" s="98" t="s"/>
      <c r="AG12" s="98" t="s"/>
      <c r="AH12" s="98" t="s"/>
      <c r="AI12" s="98" t="s"/>
      <c r="AJ12" s="98" t="s"/>
    </row>
    <row r="13" spans="1:36">
      <c r="A13" s="98">
        <v>12</v>
      </c>
      <c r="B13" s="99" t="s">
        <v>27</v>
      </c>
      <c r="C13" s="100">
        <v>46078.8131481482</v>
      </c>
      <c r="D13" s="98">
        <v>12</v>
      </c>
      <c r="E13" s="118">
        <v>46079</v>
      </c>
      <c r="F13" s="98" t="s">
        <v>215</v>
      </c>
      <c r="G13" s="98" t="s">
        <v>643</v>
      </c>
      <c r="H13" s="119" t="s">
        <v>12</v>
      </c>
      <c r="I13" s="98" t="s">
        <v>609</v>
      </c>
      <c r="J13" s="123" t="s">
        <f>=_xlfn.TEXTJOIN("+",TRUE,_xlfn._xlws.FILTER(_xlfn.TEXTSPLIT(H13,,"+"),(_xlfn.TEXTSPLIT(H13,,"+")&lt;&gt;"埃米工具")*(_xlfn.TEXTSPLIT(H13,,"+")&lt;&gt;"埃米广告通")))</f>
        <v>12</v>
      </c>
      <c r="K13" s="100">
        <f>=EDATE(C13,D13)</f>
        <v>46443</v>
      </c>
      <c r="L13" s="120">
        <v>46097</v>
      </c>
      <c r="M13" s="102" t="s">
        <v>610</v>
      </c>
      <c r="N13" s="101" t="s">
        <v>611</v>
      </c>
      <c r="O13" s="124">
        <v>46086</v>
      </c>
      <c r="P13" s="110" t="s"/>
      <c r="Q13" s="111" t="s"/>
      <c r="R13" s="105" t="s"/>
      <c r="S13" s="106" t="s"/>
      <c r="T13" s="98" t="s">
        <v>644</v>
      </c>
      <c r="U13" s="98">
        <f>=COUNTIF(F:F,T13)</f>
        <v>0</v>
      </c>
      <c r="V13" s="107">
        <f>=COUNTIFS($F:$F,$T13,$H:$H,$V$1)</f>
        <v>0</v>
      </c>
      <c r="W13" s="107">
        <f>=COUNTIFS($F:$F,$T13,$H:$H,$W$1)</f>
        <v>0</v>
      </c>
      <c r="X13" s="107">
        <f>=COUNTIFS($F:$F,$T13,$H:$H,$X$1)</f>
        <v>0</v>
      </c>
      <c r="Z13" s="98" t="s"/>
      <c r="AA13" s="98" t="s"/>
      <c r="AB13" s="98" t="s"/>
      <c r="AC13" s="98" t="s"/>
      <c r="AD13" s="98" t="s"/>
      <c r="AE13" s="98" t="s"/>
      <c r="AF13" s="98" t="s"/>
      <c r="AG13" s="98" t="s"/>
      <c r="AH13" s="98" t="s"/>
      <c r="AI13" s="98" t="s"/>
      <c r="AJ13" s="98" t="s"/>
    </row>
    <row r="14" spans="1:36">
      <c r="A14" s="98">
        <v>13</v>
      </c>
      <c r="B14" s="99" t="s">
        <v>17</v>
      </c>
      <c r="C14" s="100">
        <v>46078.7225115741</v>
      </c>
      <c r="D14" s="98">
        <v>12</v>
      </c>
      <c r="E14" s="118">
        <v>46079</v>
      </c>
      <c r="F14" s="98" t="s">
        <v>215</v>
      </c>
      <c r="G14" s="98" t="s">
        <v>645</v>
      </c>
      <c r="H14" s="119" t="s">
        <v>12</v>
      </c>
      <c r="I14" s="98" t="s">
        <v>646</v>
      </c>
      <c r="J14" s="123" t="s">
        <f>=_xlfn.TEXTJOIN("+",TRUE,_xlfn._xlws.FILTER(_xlfn.TEXTSPLIT(H14,,"+"),(_xlfn.TEXTSPLIT(H14,,"+")&lt;&gt;"埃米工具")*(_xlfn.TEXTSPLIT(H14,,"+")&lt;&gt;"埃米广告通")))</f>
        <v>12</v>
      </c>
      <c r="K14" s="109">
        <f>=EDATE(C14,D14)</f>
        <v>46443</v>
      </c>
      <c r="L14" s="109">
        <v>46079</v>
      </c>
      <c r="M14" s="102" t="s">
        <v>647</v>
      </c>
      <c r="N14" s="101" t="s">
        <v>611</v>
      </c>
      <c r="O14" s="125" t="s">
        <v>648</v>
      </c>
      <c r="P14" s="110" t="s"/>
      <c r="Q14" s="111" t="s"/>
      <c r="R14" s="105" t="s"/>
      <c r="S14" s="106" t="s"/>
      <c r="T14" s="98" t="s">
        <v>649</v>
      </c>
      <c r="U14" s="98">
        <f>=COUNTIF(F:F,T14)</f>
        <v>0</v>
      </c>
      <c r="V14" s="107">
        <f>=COUNTIFS($F:$F,$T14,$H:$H,$V$1)</f>
        <v>0</v>
      </c>
      <c r="W14" s="107">
        <f>=COUNTIFS($F:$F,$T14,$H:$H,$W$1)</f>
        <v>0</v>
      </c>
      <c r="X14" s="107">
        <f>=COUNTIFS($F:$F,$T14,$H:$H,$X$1)</f>
        <v>0</v>
      </c>
      <c r="Z14" s="98" t="s"/>
      <c r="AA14" s="98" t="s"/>
      <c r="AB14" s="98" t="s"/>
      <c r="AC14" s="98" t="s"/>
      <c r="AD14" s="98" t="s"/>
      <c r="AE14" s="98" t="s"/>
      <c r="AF14" s="98" t="s"/>
      <c r="AG14" s="98" t="s"/>
      <c r="AH14" s="98" t="s"/>
      <c r="AI14" s="98" t="s"/>
      <c r="AJ14" s="98" t="s"/>
    </row>
    <row r="15" spans="1:36">
      <c r="A15" s="98">
        <v>14</v>
      </c>
      <c r="B15" s="99" t="s">
        <v>650</v>
      </c>
      <c r="C15" s="100">
        <v>46078.7552893519</v>
      </c>
      <c r="D15" s="98">
        <v>12</v>
      </c>
      <c r="E15" s="118">
        <v>46079</v>
      </c>
      <c r="F15" s="98" t="s">
        <v>215</v>
      </c>
      <c r="G15" s="123" t="s">
        <v>651</v>
      </c>
      <c r="H15" s="101" t="s">
        <v>607</v>
      </c>
      <c r="I15" s="98" t="s">
        <v>609</v>
      </c>
      <c r="J15" s="123" t="s">
        <f>=_xlfn.TEXTJOIN("+",TRUE,_xlfn._xlws.FILTER(_xlfn.TEXTSPLIT(H15,,"+"),(_xlfn.TEXTSPLIT(H15,,"+")&lt;&gt;"埃米工具")*(_xlfn.TEXTSPLIT(H15,,"+")&lt;&gt;"埃米广告通")))</f>
        <v>607</v>
      </c>
      <c r="K15" s="109">
        <f>=EDATE(C15,D15)</f>
        <v>46443</v>
      </c>
      <c r="L15" s="109" t="s"/>
      <c r="M15" s="102" t="s"/>
      <c r="N15" s="101" t="s">
        <v>611</v>
      </c>
      <c r="O15" s="110" t="s">
        <v>652</v>
      </c>
      <c r="P15" s="110" t="s"/>
      <c r="Q15" s="111" t="s"/>
      <c r="R15" s="105" t="s"/>
      <c r="S15" s="106" t="s"/>
      <c r="T15" s="98" t="s">
        <v>653</v>
      </c>
      <c r="U15" s="98">
        <f>=COUNTIF(F:F,T15)</f>
        <v>0</v>
      </c>
      <c r="V15" s="107">
        <f>=COUNTIFS($F:$F,$T15,$H:$H,$V$1)</f>
        <v>0</v>
      </c>
      <c r="W15" s="107">
        <f>=COUNTIFS($F:$F,$T15,$H:$H,$W$1)</f>
        <v>0</v>
      </c>
      <c r="X15" s="107">
        <f>=COUNTIFS($F:$F,$T15,$H:$H,$X$1)</f>
        <v>0</v>
      </c>
      <c r="Z15" s="98" t="s"/>
      <c r="AA15" s="98" t="s"/>
      <c r="AB15" s="98" t="s"/>
      <c r="AC15" s="98" t="s"/>
      <c r="AD15" s="98" t="s"/>
      <c r="AE15" s="98" t="s"/>
      <c r="AF15" s="98" t="s"/>
      <c r="AG15" s="98" t="s"/>
      <c r="AH15" s="98" t="s"/>
      <c r="AI15" s="98" t="s"/>
      <c r="AJ15" s="98" t="s"/>
    </row>
    <row r="16" spans="1:36">
      <c r="A16" s="98">
        <v>15</v>
      </c>
      <c r="B16" s="99" t="s">
        <v>371</v>
      </c>
      <c r="C16" s="100">
        <v>46078.7801967593</v>
      </c>
      <c r="D16" s="98">
        <v>12</v>
      </c>
      <c r="E16" s="118">
        <v>46079</v>
      </c>
      <c r="F16" s="98" t="s">
        <v>215</v>
      </c>
      <c r="G16" s="123" t="s">
        <v>654</v>
      </c>
      <c r="H16" s="101" t="s">
        <v>607</v>
      </c>
      <c r="I16" s="98" t="s">
        <v>609</v>
      </c>
      <c r="J16" s="123" t="s">
        <f>=_xlfn.TEXTJOIN("+",TRUE,_xlfn._xlws.FILTER(_xlfn.TEXTSPLIT(H16,,"+"),(_xlfn.TEXTSPLIT(H16,,"+")&lt;&gt;"埃米工具")*(_xlfn.TEXTSPLIT(H16,,"+")&lt;&gt;"埃米广告通")))</f>
        <v>607</v>
      </c>
      <c r="K16" s="109">
        <f>=EDATE(C16,D16)</f>
        <v>46443</v>
      </c>
      <c r="L16" s="109" t="s"/>
      <c r="M16" s="102" t="s"/>
      <c r="N16" s="101" t="s">
        <v>611</v>
      </c>
      <c r="O16" s="110" t="s">
        <v>655</v>
      </c>
      <c r="P16" s="110" t="s"/>
      <c r="Q16" s="111" t="s"/>
      <c r="R16" s="105" t="s"/>
      <c r="S16" s="106" t="s"/>
      <c r="T16" s="98" t="s">
        <v>656</v>
      </c>
      <c r="U16" s="98">
        <f>=COUNTIF(F:F,T16)</f>
        <v>0</v>
      </c>
      <c r="V16" s="107">
        <f>=COUNTIFS($F:$F,$T16,$H:$H,$V$1)</f>
        <v>0</v>
      </c>
      <c r="W16" s="107">
        <f>=COUNTIFS($F:$F,$T16,$H:$H,$W$1)</f>
        <v>0</v>
      </c>
      <c r="X16" s="107">
        <f>=COUNTIFS($F:$F,$T16,$H:$H,$X$1)</f>
        <v>0</v>
      </c>
      <c r="Z16" s="98" t="s"/>
      <c r="AA16" s="98" t="s"/>
      <c r="AB16" s="98" t="s"/>
      <c r="AC16" s="98" t="s"/>
      <c r="AD16" s="98" t="s"/>
      <c r="AE16" s="98" t="s"/>
      <c r="AF16" s="98" t="s"/>
      <c r="AG16" s="98" t="s"/>
      <c r="AH16" s="98" t="s"/>
      <c r="AI16" s="98" t="s"/>
      <c r="AJ16" s="98" t="s"/>
    </row>
    <row r="17" spans="1:36">
      <c r="A17" s="98">
        <v>16</v>
      </c>
      <c r="B17" s="99" t="s">
        <v>19</v>
      </c>
      <c r="C17" s="100">
        <v>46079.4400694445</v>
      </c>
      <c r="D17" s="98">
        <v>12</v>
      </c>
      <c r="E17" s="118">
        <v>46079</v>
      </c>
      <c r="F17" s="98" t="s">
        <v>234</v>
      </c>
      <c r="G17" s="123" t="s">
        <v>657</v>
      </c>
      <c r="H17" s="101" t="s">
        <v>12</v>
      </c>
      <c r="I17" s="98" t="s">
        <v>609</v>
      </c>
      <c r="J17" s="123" t="s">
        <f>=_xlfn.TEXTJOIN("+",TRUE,_xlfn._xlws.FILTER(_xlfn.TEXTSPLIT(H17,,"+"),(_xlfn.TEXTSPLIT(H17,,"+")&lt;&gt;"埃米工具")*(_xlfn.TEXTSPLIT(H17,,"+")&lt;&gt;"埃米广告通")))</f>
        <v>12</v>
      </c>
      <c r="K17" s="109">
        <f>=EDATE(C17,D17)</f>
        <v>46444</v>
      </c>
      <c r="L17" s="120">
        <v>46080</v>
      </c>
      <c r="M17" s="102" t="s">
        <v>647</v>
      </c>
      <c r="N17" s="101" t="s">
        <v>611</v>
      </c>
      <c r="O17" s="116">
        <v>46106</v>
      </c>
      <c r="P17" s="110" t="s"/>
      <c r="Q17" s="111" t="s"/>
      <c r="R17" s="105" t="s"/>
      <c r="S17" s="106" t="s"/>
      <c r="T17" s="98" t="s">
        <v>658</v>
      </c>
      <c r="U17" s="98">
        <f>=COUNTIF(F:F,T17)</f>
        <v>0</v>
      </c>
      <c r="V17" s="107">
        <f>=COUNTIFS($F:$F,$T17,$H:$H,$V$1)</f>
        <v>0</v>
      </c>
      <c r="W17" s="107">
        <f>=COUNTIFS($F:$F,$T17,$H:$H,$W$1)</f>
        <v>0</v>
      </c>
      <c r="X17" s="107">
        <f>=COUNTIFS($F:$F,$T17,$H:$H,$X$1)</f>
        <v>0</v>
      </c>
      <c r="Z17" s="98" t="s"/>
      <c r="AA17" s="98" t="s"/>
      <c r="AB17" s="98" t="s"/>
      <c r="AC17" s="98" t="s"/>
      <c r="AD17" s="98" t="s"/>
      <c r="AE17" s="98" t="s"/>
      <c r="AF17" s="98" t="s"/>
      <c r="AG17" s="98" t="s"/>
      <c r="AH17" s="98" t="s"/>
      <c r="AI17" s="98" t="s"/>
      <c r="AJ17" s="98" t="s"/>
    </row>
    <row r="18" spans="1:36">
      <c r="A18" s="98">
        <v>17</v>
      </c>
      <c r="B18" s="99" t="s">
        <v>28</v>
      </c>
      <c r="C18" s="100">
        <v>46079.4806944445</v>
      </c>
      <c r="D18" s="98">
        <v>12</v>
      </c>
      <c r="E18" s="118">
        <v>46079</v>
      </c>
      <c r="F18" s="98" t="s">
        <v>215</v>
      </c>
      <c r="G18" s="103" t="s">
        <v>659</v>
      </c>
      <c r="H18" s="101" t="s">
        <v>12</v>
      </c>
      <c r="I18" s="98" t="s">
        <v>609</v>
      </c>
      <c r="J18" s="123" t="s">
        <f>=_xlfn.TEXTJOIN("+",TRUE,_xlfn._xlws.FILTER(_xlfn.TEXTSPLIT(H18,,"+"),(_xlfn.TEXTSPLIT(H18,,"+")&lt;&gt;"埃米工具")*(_xlfn.TEXTSPLIT(H18,,"+")&lt;&gt;"埃米广告通")))</f>
        <v>12</v>
      </c>
      <c r="K18" s="109">
        <f>=EDATE(C18,D18)</f>
        <v>46444</v>
      </c>
      <c r="L18" s="120">
        <v>46105</v>
      </c>
      <c r="M18" s="102" t="s">
        <v>610</v>
      </c>
      <c r="N18" s="101" t="s">
        <v>611</v>
      </c>
      <c r="O18" s="126" t="s">
        <v>648</v>
      </c>
      <c r="P18" s="110" t="s"/>
      <c r="Q18" s="111" t="s"/>
      <c r="R18" s="105" t="s"/>
      <c r="S18" s="106" t="s"/>
      <c r="T18" s="98" t="s">
        <v>660</v>
      </c>
      <c r="U18" s="98">
        <f>=COUNTIF(F:F,T18)</f>
        <v>0</v>
      </c>
      <c r="V18" s="107">
        <f>=COUNTIFS($F:$F,$T18,$H:$H,$V$1)</f>
        <v>0</v>
      </c>
      <c r="W18" s="107">
        <f>=COUNTIFS($F:$F,$T18,$H:$H,$W$1)</f>
        <v>0</v>
      </c>
      <c r="X18" s="107">
        <f>=COUNTIFS($F:$F,$T18,$H:$H,$X$1)</f>
        <v>0</v>
      </c>
      <c r="Z18" s="98" t="s"/>
      <c r="AA18" s="98" t="s"/>
      <c r="AB18" s="98" t="s"/>
      <c r="AC18" s="98" t="s"/>
      <c r="AD18" s="98" t="s"/>
      <c r="AE18" s="98" t="s"/>
      <c r="AF18" s="98" t="s"/>
      <c r="AG18" s="98" t="s"/>
      <c r="AH18" s="98" t="s"/>
      <c r="AI18" s="98" t="s"/>
      <c r="AJ18" s="98" t="s"/>
    </row>
    <row r="19" spans="1:36">
      <c r="A19" s="98">
        <v>18</v>
      </c>
      <c r="B19" s="99" t="s">
        <v>661</v>
      </c>
      <c r="C19" s="100">
        <v>46079.5659143519</v>
      </c>
      <c r="D19" s="98">
        <v>12</v>
      </c>
      <c r="E19" s="118">
        <v>46079</v>
      </c>
      <c r="F19" s="98" t="s">
        <v>234</v>
      </c>
      <c r="G19" s="98" t="s">
        <v>662</v>
      </c>
      <c r="H19" s="101" t="s">
        <v>607</v>
      </c>
      <c r="I19" s="98" t="s">
        <v>609</v>
      </c>
      <c r="J19" s="123" t="s">
        <f>=_xlfn.TEXTJOIN("+",TRUE,_xlfn._xlws.FILTER(_xlfn.TEXTSPLIT(H19,,"+"),(_xlfn.TEXTSPLIT(H19,,"+")&lt;&gt;"埃米工具")*(_xlfn.TEXTSPLIT(H19,,"+")&lt;&gt;"埃米广告通")))</f>
        <v>607</v>
      </c>
      <c r="K19" s="109">
        <f>=EDATE(C19,D19)</f>
        <v>46444</v>
      </c>
      <c r="L19" s="109" t="s"/>
      <c r="M19" s="102" t="s"/>
      <c r="N19" s="101" t="s">
        <v>611</v>
      </c>
      <c r="O19" s="110" t="s">
        <v>663</v>
      </c>
      <c r="P19" s="110" t="s"/>
      <c r="Q19" s="111" t="s"/>
      <c r="R19" s="105" t="s"/>
      <c r="S19" s="106" t="s"/>
      <c r="T19" s="98" t="s">
        <v>664</v>
      </c>
      <c r="U19" s="98">
        <f>=COUNTIF(F:F,T19)</f>
        <v>0</v>
      </c>
      <c r="V19" s="107">
        <f>=COUNTIFS($F:$F,$T19,$H:$H,$V$1)</f>
        <v>0</v>
      </c>
      <c r="W19" s="107">
        <f>=COUNTIFS($F:$F,$T19,$H:$H,$W$1)</f>
        <v>0</v>
      </c>
      <c r="X19" s="107">
        <f>=COUNTIFS($F:$F,$T19,$H:$H,$X$1)</f>
        <v>0</v>
      </c>
      <c r="Z19" s="98" t="s"/>
      <c r="AA19" s="98" t="s"/>
      <c r="AB19" s="98" t="s"/>
      <c r="AC19" s="98" t="s"/>
      <c r="AD19" s="98" t="s"/>
      <c r="AE19" s="98" t="s"/>
      <c r="AF19" s="98" t="s"/>
      <c r="AG19" s="98" t="s"/>
      <c r="AH19" s="98" t="s"/>
      <c r="AI19" s="98" t="s"/>
      <c r="AJ19" s="98" t="s"/>
    </row>
    <row r="20" spans="1:36">
      <c r="A20" s="98">
        <v>19</v>
      </c>
      <c r="B20" s="99" t="s">
        <v>20</v>
      </c>
      <c r="C20" s="100">
        <v>46079.6421759259</v>
      </c>
      <c r="D20" s="98">
        <v>12</v>
      </c>
      <c r="E20" s="118">
        <v>46079</v>
      </c>
      <c r="F20" s="98" t="s">
        <v>215</v>
      </c>
      <c r="G20" s="98" t="s">
        <v>665</v>
      </c>
      <c r="H20" s="101" t="s">
        <v>12</v>
      </c>
      <c r="I20" s="98" t="s">
        <v>609</v>
      </c>
      <c r="J20" s="123" t="s">
        <f>=_xlfn.TEXTJOIN("+",TRUE,_xlfn._xlws.FILTER(_xlfn.TEXTSPLIT(H20,,"+"),(_xlfn.TEXTSPLIT(H20,,"+")&lt;&gt;"埃米工具")*(_xlfn.TEXTSPLIT(H20,,"+")&lt;&gt;"埃米广告通")))</f>
        <v>12</v>
      </c>
      <c r="K20" s="109">
        <f>=EDATE(C20,D20)</f>
        <v>46444</v>
      </c>
      <c r="L20" s="120">
        <v>46080</v>
      </c>
      <c r="M20" s="102" t="s">
        <v>610</v>
      </c>
      <c r="N20" s="101" t="s">
        <v>611</v>
      </c>
      <c r="O20" s="110" t="s">
        <v>666</v>
      </c>
      <c r="P20" s="110" t="s"/>
      <c r="Q20" s="111" t="s"/>
      <c r="R20" s="105" t="s"/>
      <c r="S20" s="106" t="s"/>
      <c r="T20" s="98" t="s">
        <v>667</v>
      </c>
      <c r="U20" s="98">
        <f>=COUNTIF(F:F,T20)</f>
        <v>0</v>
      </c>
      <c r="V20" s="107">
        <f>=COUNTIFS($F:$F,$T20,$H:$H,$V$1)</f>
        <v>0</v>
      </c>
      <c r="W20" s="107">
        <f>=COUNTIFS($F:$F,$T20,$H:$H,$W$1)</f>
        <v>0</v>
      </c>
      <c r="X20" s="107">
        <f>=COUNTIFS($F:$F,$T20,$H:$H,$X$1)</f>
        <v>0</v>
      </c>
      <c r="Z20" s="98" t="s"/>
      <c r="AA20" s="98" t="s"/>
      <c r="AB20" s="98" t="s"/>
      <c r="AC20" s="98" t="s"/>
      <c r="AD20" s="98" t="s"/>
      <c r="AE20" s="98" t="s"/>
      <c r="AF20" s="98" t="s"/>
      <c r="AG20" s="98" t="s"/>
      <c r="AH20" s="98" t="s"/>
      <c r="AI20" s="98" t="s"/>
      <c r="AJ20" s="98" t="s"/>
    </row>
    <row r="21" spans="1:36">
      <c r="A21" s="98">
        <v>20</v>
      </c>
      <c r="B21" s="99" t="s">
        <v>668</v>
      </c>
      <c r="C21" s="100">
        <v>46079.6434375</v>
      </c>
      <c r="D21" s="98">
        <v>12</v>
      </c>
      <c r="E21" s="118">
        <v>46079</v>
      </c>
      <c r="F21" s="98" t="s">
        <v>234</v>
      </c>
      <c r="G21" s="98" t="s">
        <v>669</v>
      </c>
      <c r="H21" s="101" t="s">
        <v>607</v>
      </c>
      <c r="I21" s="98" t="s">
        <v>609</v>
      </c>
      <c r="J21" s="123" t="s">
        <f>=_xlfn.TEXTJOIN("+",TRUE,_xlfn._xlws.FILTER(_xlfn.TEXTSPLIT(H21,,"+"),(_xlfn.TEXTSPLIT(H21,,"+")&lt;&gt;"埃米工具")*(_xlfn.TEXTSPLIT(H21,,"+")&lt;&gt;"埃米广告通")))</f>
        <v>607</v>
      </c>
      <c r="K21" s="109">
        <f>=EDATE(C21,D21)</f>
        <v>46444</v>
      </c>
      <c r="L21" s="109" t="s"/>
      <c r="M21" s="102" t="s"/>
      <c r="N21" s="101" t="s">
        <v>611</v>
      </c>
      <c r="O21" s="110" t="s">
        <v>670</v>
      </c>
      <c r="P21" s="110" t="s"/>
      <c r="Q21" s="111" t="s"/>
      <c r="R21" s="105" t="s"/>
      <c r="S21" s="106" t="s"/>
      <c r="T21" s="98" t="s">
        <v>671</v>
      </c>
      <c r="U21" s="98">
        <f>=COUNTIF(F:F,T21)</f>
        <v>0</v>
      </c>
      <c r="V21" s="107">
        <f>=COUNTIFS($F:$F,$T21,$H:$H,$V$1)</f>
        <v>0</v>
      </c>
      <c r="W21" s="107">
        <f>=COUNTIFS($F:$F,$T21,$H:$H,$W$1)</f>
        <v>0</v>
      </c>
      <c r="X21" s="107">
        <f>=COUNTIFS($F:$F,$T21,$H:$H,$X$1)</f>
        <v>0</v>
      </c>
      <c r="Z21" s="98" t="s"/>
      <c r="AA21" s="98" t="s"/>
      <c r="AB21" s="98" t="s"/>
      <c r="AC21" s="98" t="s"/>
      <c r="AD21" s="98" t="s"/>
      <c r="AE21" s="98" t="s"/>
      <c r="AF21" s="98" t="s"/>
      <c r="AG21" s="98" t="s"/>
      <c r="AH21" s="98" t="s"/>
      <c r="AI21" s="98" t="s"/>
      <c r="AJ21" s="98" t="s"/>
    </row>
    <row r="22" spans="1:36">
      <c r="A22" s="98">
        <v>21</v>
      </c>
      <c r="B22" s="99" t="s">
        <v>672</v>
      </c>
      <c r="C22" s="100">
        <v>46079.6168634259</v>
      </c>
      <c r="D22" s="98">
        <v>12</v>
      </c>
      <c r="E22" s="118">
        <v>46079</v>
      </c>
      <c r="F22" s="98" t="s">
        <v>234</v>
      </c>
      <c r="G22" s="98" t="s">
        <v>673</v>
      </c>
      <c r="H22" s="101" t="s">
        <v>607</v>
      </c>
      <c r="I22" s="98" t="s">
        <v>609</v>
      </c>
      <c r="J22" s="123" t="s">
        <f>=_xlfn.TEXTJOIN("+",TRUE,_xlfn._xlws.FILTER(_xlfn.TEXTSPLIT(H22,,"+"),(_xlfn.TEXTSPLIT(H22,,"+")&lt;&gt;"埃米工具")*(_xlfn.TEXTSPLIT(H22,,"+")&lt;&gt;"埃米广告通")))</f>
        <v>607</v>
      </c>
      <c r="K22" s="109">
        <f>=EDATE(C22,D22)</f>
        <v>46444</v>
      </c>
      <c r="L22" s="109" t="s"/>
      <c r="M22" s="102" t="s"/>
      <c r="N22" s="101" t="s">
        <v>611</v>
      </c>
      <c r="O22" s="110" t="s">
        <v>674</v>
      </c>
      <c r="P22" s="110" t="s"/>
      <c r="Q22" s="111" t="s"/>
      <c r="R22" s="105" t="s"/>
      <c r="S22" s="106" t="s"/>
      <c r="T22" s="98" t="s">
        <v>675</v>
      </c>
      <c r="U22" s="98">
        <f>=COUNTIF(F:F,T22)</f>
        <v>0</v>
      </c>
      <c r="V22" s="107">
        <f>=COUNTIFS($F:$F,$T22,$H:$H,$V$1)</f>
        <v>0</v>
      </c>
      <c r="W22" s="107">
        <f>=COUNTIFS($F:$F,$T22,$H:$H,$W$1)</f>
        <v>0</v>
      </c>
      <c r="X22" s="107">
        <f>=COUNTIFS($F:$F,$T22,$H:$H,$X$1)</f>
        <v>0</v>
      </c>
      <c r="Z22" s="98" t="s"/>
      <c r="AA22" s="98" t="s"/>
      <c r="AB22" s="98" t="s"/>
      <c r="AC22" s="98" t="s"/>
      <c r="AD22" s="98" t="s"/>
      <c r="AE22" s="98" t="s"/>
      <c r="AF22" s="98" t="s"/>
      <c r="AG22" s="98" t="s"/>
      <c r="AH22" s="98" t="s"/>
      <c r="AI22" s="98" t="s"/>
      <c r="AJ22" s="98" t="s"/>
    </row>
    <row r="23" spans="1:36">
      <c r="A23" s="98">
        <v>22</v>
      </c>
      <c r="B23" s="99" t="s">
        <v>676</v>
      </c>
      <c r="C23" s="100">
        <v>46079.6938888889</v>
      </c>
      <c r="D23" s="98">
        <v>12</v>
      </c>
      <c r="E23" s="118">
        <v>46079</v>
      </c>
      <c r="F23" s="98" t="s">
        <v>215</v>
      </c>
      <c r="G23" s="98" t="s">
        <v>677</v>
      </c>
      <c r="H23" s="101" t="s">
        <v>607</v>
      </c>
      <c r="I23" s="98" t="s">
        <v>609</v>
      </c>
      <c r="J23" s="123" t="s">
        <f>=_xlfn.TEXTJOIN("+",TRUE,_xlfn._xlws.FILTER(_xlfn.TEXTSPLIT(H23,,"+"),(_xlfn.TEXTSPLIT(H23,,"+")&lt;&gt;"埃米工具")*(_xlfn.TEXTSPLIT(H23,,"+")&lt;&gt;"埃米广告通")))</f>
        <v>607</v>
      </c>
      <c r="K23" s="109">
        <f>=EDATE(C23,D23)</f>
        <v>46444</v>
      </c>
      <c r="L23" s="109" t="s"/>
      <c r="M23" s="102" t="s"/>
      <c r="N23" s="101" t="s">
        <v>611</v>
      </c>
      <c r="O23" s="110" t="s">
        <v>678</v>
      </c>
      <c r="P23" s="110" t="s"/>
      <c r="Q23" s="111" t="s"/>
      <c r="R23" s="105" t="s"/>
      <c r="S23" s="106" t="s"/>
      <c r="T23" s="98" t="s">
        <v>679</v>
      </c>
      <c r="U23" s="98">
        <f>=COUNTIF(F:F,T23)</f>
        <v>0</v>
      </c>
      <c r="V23" s="107">
        <f>=COUNTIFS($F:$F,$T23,$H:$H,$V$1)</f>
        <v>0</v>
      </c>
      <c r="W23" s="107">
        <f>=COUNTIFS($F:$F,$T23,$H:$H,$W$1)</f>
        <v>0</v>
      </c>
      <c r="X23" s="107">
        <f>=COUNTIFS($F:$F,$T23,$H:$H,$X$1)</f>
        <v>0</v>
      </c>
      <c r="Z23" s="98" t="s"/>
      <c r="AA23" s="98" t="s"/>
      <c r="AB23" s="98" t="s"/>
      <c r="AC23" s="98" t="s"/>
      <c r="AD23" s="98" t="s"/>
      <c r="AE23" s="98" t="s"/>
      <c r="AF23" s="98" t="s"/>
      <c r="AG23" s="98" t="s"/>
      <c r="AH23" s="98" t="s"/>
      <c r="AI23" s="98" t="s"/>
      <c r="AJ23" s="98" t="s"/>
    </row>
    <row r="24" spans="1:36">
      <c r="A24" s="98">
        <v>23</v>
      </c>
      <c r="B24" s="99" t="s">
        <v>680</v>
      </c>
      <c r="C24" s="100">
        <v>46079.6962037037</v>
      </c>
      <c r="D24" s="98">
        <v>12</v>
      </c>
      <c r="E24" s="118">
        <v>46079</v>
      </c>
      <c r="F24" s="98" t="s">
        <v>234</v>
      </c>
      <c r="G24" s="98" t="s">
        <v>681</v>
      </c>
      <c r="H24" s="101" t="s">
        <v>607</v>
      </c>
      <c r="I24" s="98" t="s">
        <v>609</v>
      </c>
      <c r="J24" s="123" t="s">
        <f>=_xlfn.TEXTJOIN("+",TRUE,_xlfn._xlws.FILTER(_xlfn.TEXTSPLIT(H24,,"+"),(_xlfn.TEXTSPLIT(H24,,"+")&lt;&gt;"埃米工具")*(_xlfn.TEXTSPLIT(H24,,"+")&lt;&gt;"埃米广告通")))</f>
        <v>607</v>
      </c>
      <c r="K24" s="109">
        <f>=EDATE(C24,D24)</f>
        <v>46444</v>
      </c>
      <c r="L24" s="109" t="s"/>
      <c r="M24" s="102" t="s"/>
      <c r="N24" s="101" t="s">
        <v>611</v>
      </c>
      <c r="O24" s="110" t="s">
        <v>682</v>
      </c>
      <c r="P24" s="110" t="s"/>
      <c r="Q24" s="111" t="s"/>
      <c r="R24" s="105" t="s"/>
      <c r="S24" s="106" t="s"/>
      <c r="T24" s="98" t="s">
        <v>683</v>
      </c>
      <c r="U24" s="98">
        <f>=COUNTIF(F:F,T24)</f>
        <v>0</v>
      </c>
      <c r="V24" s="107">
        <f>=COUNTIFS($F:$F,$T24,$H:$H,$V$1)</f>
        <v>0</v>
      </c>
      <c r="W24" s="107">
        <f>=COUNTIFS($F:$F,$T24,$H:$H,$W$1)</f>
        <v>0</v>
      </c>
      <c r="X24" s="107">
        <f>=COUNTIFS($F:$F,$T24,$H:$H,$X$1)</f>
        <v>0</v>
      </c>
      <c r="Z24" s="98" t="s"/>
      <c r="AA24" s="98" t="s"/>
      <c r="AB24" s="98" t="s"/>
      <c r="AC24" s="98" t="s"/>
      <c r="AD24" s="98" t="s"/>
      <c r="AE24" s="98" t="s"/>
      <c r="AF24" s="98" t="s"/>
      <c r="AG24" s="98" t="s"/>
      <c r="AH24" s="98" t="s"/>
      <c r="AI24" s="98" t="s"/>
      <c r="AJ24" s="98" t="s"/>
    </row>
    <row r="25" spans="1:36">
      <c r="A25" s="98">
        <v>24</v>
      </c>
      <c r="B25" s="99" t="s">
        <v>21</v>
      </c>
      <c r="C25" s="100">
        <v>46079.7792939815</v>
      </c>
      <c r="D25" s="98">
        <v>12</v>
      </c>
      <c r="E25" s="118">
        <v>46080</v>
      </c>
      <c r="F25" s="98" t="s">
        <v>236</v>
      </c>
      <c r="G25" s="98" t="s">
        <v>684</v>
      </c>
      <c r="H25" s="101" t="s">
        <v>12</v>
      </c>
      <c r="I25" s="98" t="s">
        <v>609</v>
      </c>
      <c r="J25" s="123" t="s">
        <f>=_xlfn.TEXTJOIN("+",TRUE,_xlfn._xlws.FILTER(_xlfn.TEXTSPLIT(H25,,"+"),(_xlfn.TEXTSPLIT(H25,,"+")&lt;&gt;"埃米工具")*(_xlfn.TEXTSPLIT(H25,,"+")&lt;&gt;"埃米广告通")))</f>
        <v>12</v>
      </c>
      <c r="K25" s="109">
        <f>=EDATE(C25,D25)</f>
        <v>46444</v>
      </c>
      <c r="L25" s="120">
        <v>46080</v>
      </c>
      <c r="M25" s="102" t="s">
        <v>610</v>
      </c>
      <c r="N25" s="101" t="s">
        <v>611</v>
      </c>
      <c r="O25" s="110" t="s">
        <v>685</v>
      </c>
      <c r="P25" s="127" t="s"/>
      <c r="Q25" s="111" t="s"/>
      <c r="R25" s="105" t="s"/>
      <c r="S25" s="106" t="s"/>
      <c r="T25" s="98" t="s">
        <v>686</v>
      </c>
      <c r="U25" s="98">
        <f>=COUNTIF(F:F,T25)</f>
        <v>0</v>
      </c>
      <c r="V25" s="107">
        <f>=COUNTIFS($F:$F,$T25,$H:$H,$V$1)</f>
        <v>0</v>
      </c>
      <c r="W25" s="107">
        <f>=COUNTIFS($F:$F,$T25,$H:$H,$W$1)</f>
        <v>0</v>
      </c>
      <c r="X25" s="107">
        <f>=COUNTIFS($F:$F,$T25,$H:$H,$X$1)</f>
        <v>0</v>
      </c>
      <c r="Z25" s="98" t="s"/>
      <c r="AA25" s="98" t="s"/>
      <c r="AB25" s="98" t="s"/>
      <c r="AC25" s="98" t="s"/>
      <c r="AD25" s="98" t="s"/>
      <c r="AE25" s="98" t="s"/>
      <c r="AF25" s="98" t="s"/>
      <c r="AG25" s="98" t="s"/>
      <c r="AH25" s="98" t="s"/>
      <c r="AI25" s="98" t="s"/>
      <c r="AJ25" s="98" t="s"/>
    </row>
    <row r="26" spans="1:36">
      <c r="A26" s="98">
        <v>25</v>
      </c>
      <c r="B26" s="99" t="s">
        <v>29</v>
      </c>
      <c r="C26" s="100">
        <v>46079.8174074074</v>
      </c>
      <c r="D26" s="98">
        <v>12</v>
      </c>
      <c r="E26" s="118">
        <v>46080</v>
      </c>
      <c r="F26" s="98" t="s">
        <v>236</v>
      </c>
      <c r="G26" s="98" t="s">
        <v>687</v>
      </c>
      <c r="H26" s="101" t="s">
        <v>12</v>
      </c>
      <c r="I26" s="98" t="s">
        <v>646</v>
      </c>
      <c r="J26" s="123" t="s">
        <f>=_xlfn.TEXTJOIN("+",TRUE,_xlfn._xlws.FILTER(_xlfn.TEXTSPLIT(H26,,"+"),(_xlfn.TEXTSPLIT(H26,,"+")&lt;&gt;"埃米工具")*(_xlfn.TEXTSPLIT(H26,,"+")&lt;&gt;"埃米广告通")))</f>
        <v>12</v>
      </c>
      <c r="K26" s="109">
        <f>=EDATE(C26,D26)</f>
        <v>46444</v>
      </c>
      <c r="L26" s="120">
        <v>46085</v>
      </c>
      <c r="M26" s="128" t="s">
        <v>610</v>
      </c>
      <c r="N26" s="101" t="s">
        <v>611</v>
      </c>
      <c r="O26" s="110" t="s"/>
      <c r="P26" s="110" t="s"/>
      <c r="Q26" s="111" t="s"/>
      <c r="R26" s="105" t="s"/>
      <c r="S26" s="106" t="s"/>
      <c r="T26" s="98" t="s">
        <v>23</v>
      </c>
      <c r="U26" s="98">
        <f>=COUNTIF(F:F,T26)</f>
        <v>0</v>
      </c>
      <c r="V26" s="107">
        <f>=COUNTIFS($F:$F,$T26,$H:$H,$V$1)</f>
        <v>0</v>
      </c>
      <c r="W26" s="107">
        <f>=COUNTIFS($F:$F,$T26,$H:$H,$W$1)</f>
        <v>0</v>
      </c>
      <c r="X26" s="107">
        <f>=COUNTIFS($F:$F,$T26,$H:$H,$X$1)</f>
        <v>0</v>
      </c>
      <c r="Z26" s="100" t="s"/>
      <c r="AA26" s="98" t="s"/>
      <c r="AB26" s="98" t="s"/>
      <c r="AC26" s="98" t="s"/>
      <c r="AD26" s="98" t="s"/>
      <c r="AE26" s="98" t="s"/>
      <c r="AF26" s="98" t="s"/>
      <c r="AG26" s="98" t="s"/>
      <c r="AH26" s="98" t="s"/>
      <c r="AI26" s="98" t="s"/>
      <c r="AJ26" s="98" t="s"/>
    </row>
    <row r="27" spans="1:36">
      <c r="A27" s="98">
        <v>26</v>
      </c>
      <c r="B27" s="99" t="s">
        <v>688</v>
      </c>
      <c r="C27" s="100">
        <v>46080.6943055556</v>
      </c>
      <c r="D27" s="98">
        <v>12</v>
      </c>
      <c r="E27" s="118">
        <v>46080</v>
      </c>
      <c r="F27" s="98" t="s">
        <v>234</v>
      </c>
      <c r="G27" s="98" t="s">
        <v>689</v>
      </c>
      <c r="H27" s="101" t="s">
        <v>607</v>
      </c>
      <c r="I27" s="98" t="s">
        <v>646</v>
      </c>
      <c r="J27" s="123" t="s">
        <f>=_xlfn.TEXTJOIN("+",TRUE,_xlfn._xlws.FILTER(_xlfn.TEXTSPLIT(H27,,"+"),(_xlfn.TEXTSPLIT(H27,,"+")&lt;&gt;"埃米工具")*(_xlfn.TEXTSPLIT(H27,,"+")&lt;&gt;"埃米广告通")))</f>
        <v>607</v>
      </c>
      <c r="K27" s="109">
        <f>=EDATE(C27,D27)</f>
        <v>46445</v>
      </c>
      <c r="L27" s="109" t="s"/>
      <c r="M27" s="128" t="s"/>
      <c r="N27" s="101" t="s">
        <v>611</v>
      </c>
      <c r="O27" s="110" t="s">
        <v>690</v>
      </c>
      <c r="P27" s="110" t="s"/>
      <c r="Q27" s="111" t="s"/>
      <c r="R27" s="105" t="s"/>
      <c r="S27" s="106" t="s"/>
      <c r="T27" s="98" t="s">
        <v>39</v>
      </c>
      <c r="U27" s="98">
        <f>=COUNTIF(F:F,T27)</f>
        <v>0</v>
      </c>
      <c r="V27" s="107">
        <f>=COUNTIFS($F:$F,$T27,$H:$H,$V$1)</f>
        <v>0</v>
      </c>
      <c r="W27" s="107">
        <f>=COUNTIFS($F:$F,$T27,$H:$H,$W$1)</f>
        <v>0</v>
      </c>
      <c r="X27" s="107">
        <f>=COUNTIFS($F:$F,$T27,$H:$H,$X$1)</f>
        <v>0</v>
      </c>
      <c r="Z27" s="98" t="s"/>
      <c r="AA27" s="98" t="s"/>
      <c r="AB27" s="98" t="s"/>
      <c r="AC27" s="98" t="s"/>
      <c r="AD27" s="98" t="s"/>
      <c r="AE27" s="98" t="s"/>
      <c r="AF27" s="98" t="s"/>
      <c r="AG27" s="98" t="s"/>
      <c r="AH27" s="98" t="s"/>
      <c r="AI27" s="98" t="s"/>
      <c r="AJ27" s="98" t="s"/>
    </row>
    <row r="28" spans="1:36">
      <c r="A28" s="98">
        <v>27</v>
      </c>
      <c r="B28" s="99" t="s">
        <v>691</v>
      </c>
      <c r="C28" s="100">
        <v>46080.3998263889</v>
      </c>
      <c r="D28" s="98">
        <v>12</v>
      </c>
      <c r="E28" s="118">
        <v>46080</v>
      </c>
      <c r="F28" s="98" t="s">
        <v>236</v>
      </c>
      <c r="G28" s="98" t="s">
        <v>692</v>
      </c>
      <c r="H28" s="101" t="s">
        <v>607</v>
      </c>
      <c r="I28" s="98" t="s">
        <v>609</v>
      </c>
      <c r="J28" s="123" t="s">
        <f>=_xlfn.TEXTJOIN("+",TRUE,_xlfn._xlws.FILTER(_xlfn.TEXTSPLIT(H28,,"+"),(_xlfn.TEXTSPLIT(H28,,"+")&lt;&gt;"埃米工具")*(_xlfn.TEXTSPLIT(H28,,"+")&lt;&gt;"埃米广告通")))</f>
        <v>607</v>
      </c>
      <c r="K28" s="109">
        <f>=EDATE(C28,D28)</f>
        <v>46445</v>
      </c>
      <c r="L28" s="109" t="s"/>
      <c r="M28" s="102" t="s"/>
      <c r="N28" s="101" t="s">
        <v>611</v>
      </c>
      <c r="O28" s="110" t="s">
        <v>693</v>
      </c>
      <c r="P28" s="103" t="s"/>
      <c r="Q28" s="111" t="s"/>
      <c r="R28" s="105" t="s"/>
      <c r="S28" s="106" t="s"/>
      <c r="T28" s="98" t="s">
        <v>694</v>
      </c>
      <c r="U28" s="98">
        <f>=COUNTIF(F:F,T28)</f>
        <v>0</v>
      </c>
      <c r="V28" s="107">
        <f>=COUNTIFS($F:$F,$T28,$H:$H,$V$1)</f>
        <v>0</v>
      </c>
      <c r="W28" s="107">
        <f>=COUNTIFS($F:$F,$T28,$H:$H,$W$1)</f>
        <v>0</v>
      </c>
      <c r="X28" s="107">
        <f>=COUNTIFS($F:$F,$T28,$H:$H,$X$1)</f>
        <v>0</v>
      </c>
      <c r="Z28" s="98" t="s"/>
      <c r="AA28" s="98" t="s"/>
      <c r="AB28" s="98" t="s"/>
      <c r="AC28" s="98" t="s"/>
      <c r="AD28" s="98" t="s"/>
      <c r="AE28" s="98" t="s"/>
      <c r="AF28" s="98" t="s"/>
      <c r="AG28" s="98" t="s"/>
      <c r="AH28" s="98" t="s"/>
      <c r="AI28" s="98" t="s"/>
      <c r="AJ28" s="98" t="s"/>
    </row>
    <row r="29" spans="1:36">
      <c r="A29" s="98">
        <v>28</v>
      </c>
      <c r="B29" s="99" t="s">
        <v>695</v>
      </c>
      <c r="C29" s="100">
        <v>46080.4335763889</v>
      </c>
      <c r="D29" s="98">
        <v>12</v>
      </c>
      <c r="E29" s="118">
        <v>46080</v>
      </c>
      <c r="F29" s="98" t="s">
        <v>224</v>
      </c>
      <c r="G29" s="98" t="s">
        <v>696</v>
      </c>
      <c r="H29" s="101" t="s">
        <v>607</v>
      </c>
      <c r="I29" s="98" t="s">
        <v>609</v>
      </c>
      <c r="J29" s="123" t="s">
        <f>=_xlfn.TEXTJOIN("+",TRUE,_xlfn._xlws.FILTER(_xlfn.TEXTSPLIT(H29,,"+"),(_xlfn.TEXTSPLIT(H29,,"+")&lt;&gt;"埃米工具")*(_xlfn.TEXTSPLIT(H29,,"+")&lt;&gt;"埃米广告通")))</f>
        <v>607</v>
      </c>
      <c r="K29" s="109">
        <f>=EDATE(C29,D29)</f>
        <v>46445</v>
      </c>
      <c r="L29" s="109" t="s"/>
      <c r="M29" s="128" t="s"/>
      <c r="N29" s="101" t="s">
        <v>611</v>
      </c>
      <c r="O29" s="110" t="s">
        <v>697</v>
      </c>
      <c r="P29" s="103" t="s"/>
      <c r="Q29" s="111" t="s"/>
      <c r="R29" s="105" t="s"/>
      <c r="S29" s="106" t="s"/>
      <c r="T29" s="98" t="s">
        <v>18</v>
      </c>
      <c r="U29" s="98">
        <f>=COUNTIF(F:F,T29)</f>
        <v>0</v>
      </c>
      <c r="V29" s="107">
        <f>=COUNTIFS($F:$F,$T29,$H:$H,$V$1)</f>
        <v>0</v>
      </c>
      <c r="W29" s="107">
        <f>=COUNTIFS($F:$F,$T29,$H:$H,$W$1)</f>
        <v>0</v>
      </c>
      <c r="X29" s="107">
        <f>=COUNTIFS($F:$F,$T29,$H:$H,$X$1)</f>
        <v>0</v>
      </c>
      <c r="Z29" s="98" t="s"/>
      <c r="AA29" s="98" t="s"/>
      <c r="AB29" s="98" t="s"/>
      <c r="AC29" s="98" t="s"/>
      <c r="AD29" s="98" t="s"/>
      <c r="AE29" s="98" t="s"/>
      <c r="AF29" s="98" t="s"/>
      <c r="AG29" s="98" t="s"/>
      <c r="AH29" s="98" t="s"/>
      <c r="AI29" s="98" t="s"/>
      <c r="AJ29" s="98" t="s"/>
    </row>
    <row r="30" spans="1:36">
      <c r="A30" s="98">
        <v>29</v>
      </c>
      <c r="B30" s="99" t="s">
        <v>698</v>
      </c>
      <c r="C30" s="100">
        <v>46079.7136111111</v>
      </c>
      <c r="D30" s="98">
        <v>12</v>
      </c>
      <c r="E30" s="118">
        <v>46080</v>
      </c>
      <c r="F30" s="98" t="s">
        <v>236</v>
      </c>
      <c r="G30" s="98" t="s">
        <v>699</v>
      </c>
      <c r="H30" s="101" t="s">
        <v>607</v>
      </c>
      <c r="I30" s="98" t="s">
        <v>609</v>
      </c>
      <c r="J30" s="123" t="s">
        <f>=_xlfn.TEXTJOIN("+",TRUE,_xlfn._xlws.FILTER(_xlfn.TEXTSPLIT(H30,,"+"),(_xlfn.TEXTSPLIT(H30,,"+")&lt;&gt;"埃米工具")*(_xlfn.TEXTSPLIT(H30,,"+")&lt;&gt;"埃米广告通")))</f>
        <v>607</v>
      </c>
      <c r="K30" s="109">
        <f>=EDATE(C30,D30)</f>
        <v>46444</v>
      </c>
      <c r="L30" s="109" t="s"/>
      <c r="M30" s="102" t="s"/>
      <c r="N30" s="101" t="s">
        <v>611</v>
      </c>
      <c r="O30" s="110" t="s">
        <v>700</v>
      </c>
      <c r="P30" s="103" t="s"/>
      <c r="Q30" s="111" t="s"/>
      <c r="R30" s="105" t="s"/>
      <c r="S30" s="106" t="s"/>
      <c r="T30" s="98" t="s">
        <v>701</v>
      </c>
      <c r="U30" s="98">
        <f>=COUNTIF(F:F,T30)</f>
        <v>0</v>
      </c>
      <c r="V30" s="107">
        <f>=COUNTIFS($F:$F,$T30,$H:$H,$V$1)</f>
        <v>0</v>
      </c>
      <c r="W30" s="107">
        <f>=COUNTIFS($F:$F,$T30,$H:$H,$W$1)</f>
        <v>0</v>
      </c>
      <c r="X30" s="107">
        <f>=COUNTIFS($F:$F,$T30,$H:$H,$X$1)</f>
        <v>0</v>
      </c>
      <c r="Z30" s="98" t="s"/>
      <c r="AA30" s="98" t="s"/>
      <c r="AB30" s="98" t="s"/>
      <c r="AC30" s="98" t="s"/>
      <c r="AD30" s="98" t="s"/>
      <c r="AE30" s="98" t="s"/>
      <c r="AF30" s="98" t="s"/>
      <c r="AG30" s="98" t="s"/>
      <c r="AH30" s="98" t="s"/>
      <c r="AI30" s="98" t="s"/>
      <c r="AJ30" s="98" t="s"/>
    </row>
    <row r="31" spans="1:36">
      <c r="A31" s="98">
        <v>30</v>
      </c>
      <c r="B31" s="99" t="s">
        <v>255</v>
      </c>
      <c r="C31" s="100">
        <v>46080.4756365741</v>
      </c>
      <c r="D31" s="98">
        <v>12</v>
      </c>
      <c r="E31" s="118">
        <v>46080</v>
      </c>
      <c r="F31" s="98" t="s">
        <v>236</v>
      </c>
      <c r="G31" s="103" t="s">
        <v>702</v>
      </c>
      <c r="H31" s="101" t="s">
        <v>607</v>
      </c>
      <c r="I31" s="98" t="s">
        <v>609</v>
      </c>
      <c r="J31" s="123" t="s">
        <f>=_xlfn.TEXTJOIN("+",TRUE,_xlfn._xlws.FILTER(_xlfn.TEXTSPLIT(H31,,"+"),(_xlfn.TEXTSPLIT(H31,,"+")&lt;&gt;"埃米工具")*(_xlfn.TEXTSPLIT(H31,,"+")&lt;&gt;"埃米广告通")))</f>
        <v>607</v>
      </c>
      <c r="K31" s="109">
        <f>=EDATE(C31,D31)</f>
        <v>46445</v>
      </c>
      <c r="L31" s="109" t="s"/>
      <c r="M31" s="102" t="s"/>
      <c r="N31" s="101" t="s">
        <v>611</v>
      </c>
      <c r="O31" s="129" t="s">
        <v>703</v>
      </c>
      <c r="P31" s="103" t="s"/>
      <c r="Q31" s="111" t="s"/>
      <c r="R31" s="105" t="s"/>
      <c r="S31" s="106" t="s"/>
      <c r="T31" s="98" t="s">
        <v>13</v>
      </c>
      <c r="U31" s="98">
        <f>=COUNTIF(F:F,T31)</f>
        <v>0</v>
      </c>
      <c r="V31" s="107">
        <f>=COUNTIFS($F:$F,$T31,$H:$H,$V$1)</f>
        <v>0</v>
      </c>
      <c r="W31" s="107">
        <f>=COUNTIFS($F:$F,$T31,$H:$H,$W$1)</f>
        <v>0</v>
      </c>
      <c r="X31" s="107">
        <f>=COUNTIFS($F:$F,$T31,$H:$H,$X$1)</f>
        <v>0</v>
      </c>
      <c r="Z31" s="98" t="s"/>
      <c r="AA31" s="98" t="s"/>
      <c r="AB31" s="98" t="s"/>
      <c r="AC31" s="98" t="s"/>
      <c r="AD31" s="98" t="s"/>
      <c r="AE31" s="98" t="s"/>
      <c r="AF31" s="98" t="s"/>
      <c r="AG31" s="98" t="s"/>
      <c r="AH31" s="98" t="s"/>
      <c r="AI31" s="98" t="s"/>
      <c r="AJ31" s="98" t="s"/>
    </row>
    <row r="32" spans="1:36">
      <c r="A32" s="98">
        <v>31</v>
      </c>
      <c r="B32" s="99" t="s">
        <v>30</v>
      </c>
      <c r="C32" s="100">
        <v>46080.6080671296</v>
      </c>
      <c r="D32" s="98">
        <v>12</v>
      </c>
      <c r="E32" s="118">
        <v>46080</v>
      </c>
      <c r="F32" s="98" t="s">
        <v>224</v>
      </c>
      <c r="G32" s="123" t="s">
        <v>704</v>
      </c>
      <c r="H32" s="101" t="s">
        <v>12</v>
      </c>
      <c r="I32" s="98" t="s">
        <v>609</v>
      </c>
      <c r="J32" s="123" t="s">
        <f>=_xlfn.TEXTJOIN("+",TRUE,_xlfn._xlws.FILTER(_xlfn.TEXTSPLIT(H32,,"+"),(_xlfn.TEXTSPLIT(H32,,"+")&lt;&gt;"埃米工具")*(_xlfn.TEXTSPLIT(H32,,"+")&lt;&gt;"埃米广告通")))</f>
        <v>12</v>
      </c>
      <c r="K32" s="109">
        <f>=EDATE(C32,D32)</f>
        <v>46445</v>
      </c>
      <c r="L32" s="120">
        <v>46084</v>
      </c>
      <c r="M32" s="102" t="s">
        <v>705</v>
      </c>
      <c r="N32" s="101" t="s">
        <v>611</v>
      </c>
      <c r="O32" s="110" t="s">
        <v>703</v>
      </c>
      <c r="P32" s="103" t="s"/>
      <c r="Q32" s="111" t="s"/>
      <c r="R32" s="105" t="s"/>
      <c r="S32" s="106" t="s"/>
      <c r="T32" s="98" t="s">
        <v>706</v>
      </c>
      <c r="U32" s="98">
        <f>=COUNTIF(F:F,T32)</f>
        <v>0</v>
      </c>
      <c r="V32" s="107">
        <f>=COUNTIFS($F:$F,$T32,$H:$H,$V$1)</f>
        <v>0</v>
      </c>
      <c r="W32" s="107">
        <f>=COUNTIFS($F:$F,$T32,$H:$H,$W$1)</f>
        <v>0</v>
      </c>
      <c r="X32" s="107">
        <f>=COUNTIFS($F:$F,$T32,$H:$H,$X$1)</f>
        <v>0</v>
      </c>
      <c r="Z32" s="98" t="s"/>
      <c r="AA32" s="98" t="s"/>
      <c r="AB32" s="98" t="s"/>
      <c r="AC32" s="98" t="s"/>
      <c r="AD32" s="98" t="s"/>
      <c r="AE32" s="98" t="s"/>
      <c r="AF32" s="98" t="s"/>
      <c r="AG32" s="98" t="s"/>
      <c r="AH32" s="98" t="s"/>
      <c r="AI32" s="98" t="s"/>
      <c r="AJ32" s="98" t="s"/>
    </row>
    <row r="33" spans="1:36">
      <c r="A33" s="98">
        <v>32</v>
      </c>
      <c r="B33" s="99" t="s">
        <v>22</v>
      </c>
      <c r="C33" s="100">
        <v>46080.7762268519</v>
      </c>
      <c r="D33" s="98">
        <v>12</v>
      </c>
      <c r="E33" s="118">
        <v>46081</v>
      </c>
      <c r="F33" s="107" t="s">
        <v>236</v>
      </c>
      <c r="G33" s="130" t="s">
        <v>707</v>
      </c>
      <c r="H33" s="101" t="s">
        <v>606</v>
      </c>
      <c r="I33" s="98" t="s">
        <v>609</v>
      </c>
      <c r="J33" s="123" t="s">
        <f>=_xlfn.TEXTJOIN("+",TRUE,_xlfn._xlws.FILTER(_xlfn.TEXTSPLIT(H33,,"+"),(_xlfn.TEXTSPLIT(H33,,"+")&lt;&gt;"埃米工具")*(_xlfn.TEXTSPLIT(H33,,"+")&lt;&gt;"埃米广告通")))</f>
        <v>15</v>
      </c>
      <c r="K33" s="109">
        <f>=EDATE(C33,D33)</f>
        <v>46445</v>
      </c>
      <c r="L33" s="109">
        <v>46083</v>
      </c>
      <c r="M33" s="102" t="s">
        <v>708</v>
      </c>
      <c r="N33" s="101" t="s">
        <v>611</v>
      </c>
      <c r="O33" s="110" t="s">
        <v>670</v>
      </c>
      <c r="P33" s="103" t="s"/>
      <c r="Q33" s="111" t="s"/>
      <c r="R33" s="105" t="s"/>
      <c r="S33" s="106" t="s"/>
      <c r="T33" s="98" t="s">
        <v>709</v>
      </c>
      <c r="U33" s="98">
        <f>=COUNTIF(F:F,T33)</f>
        <v>0</v>
      </c>
      <c r="V33" s="107">
        <f>=COUNTIFS($F:$F,$T33,$H:$H,$V$1)</f>
        <v>0</v>
      </c>
      <c r="W33" s="107">
        <f>=COUNTIFS($F:$F,$T33,$H:$H,$W$1)</f>
        <v>0</v>
      </c>
      <c r="X33" s="107">
        <f>=COUNTIFS($F:$F,$T33,$H:$H,$X$1)</f>
        <v>0</v>
      </c>
      <c r="Z33" s="98" t="s"/>
      <c r="AA33" s="98" t="s"/>
      <c r="AB33" s="98" t="s"/>
      <c r="AC33" s="98" t="s"/>
      <c r="AD33" s="98" t="s"/>
      <c r="AE33" s="98" t="s"/>
      <c r="AF33" s="98" t="s"/>
      <c r="AG33" s="98" t="s"/>
      <c r="AH33" s="98" t="s"/>
      <c r="AI33" s="98" t="s"/>
      <c r="AJ33" s="98" t="s"/>
    </row>
    <row r="34" spans="1:36">
      <c r="A34" s="98">
        <v>33</v>
      </c>
      <c r="B34" s="99" t="s">
        <v>710</v>
      </c>
      <c r="C34" s="100">
        <v>46080.7700462962</v>
      </c>
      <c r="D34" s="98">
        <v>12</v>
      </c>
      <c r="E34" s="118">
        <v>46081</v>
      </c>
      <c r="F34" s="107" t="s">
        <v>236</v>
      </c>
      <c r="G34" s="123" t="s">
        <v>711</v>
      </c>
      <c r="H34" s="101" t="s">
        <v>607</v>
      </c>
      <c r="I34" s="98" t="s">
        <v>609</v>
      </c>
      <c r="J34" s="123" t="s">
        <f>=_xlfn.TEXTJOIN("+",TRUE,_xlfn._xlws.FILTER(_xlfn.TEXTSPLIT(H34,,"+"),(_xlfn.TEXTSPLIT(H34,,"+")&lt;&gt;"埃米工具")*(_xlfn.TEXTSPLIT(H34,,"+")&lt;&gt;"埃米广告通")))</f>
        <v>607</v>
      </c>
      <c r="K34" s="109">
        <f>=EDATE(C34,D34)</f>
        <v>46445</v>
      </c>
      <c r="L34" s="109" t="s"/>
      <c r="M34" s="102" t="s"/>
      <c r="N34" s="101" t="s">
        <v>611</v>
      </c>
      <c r="O34" s="110" t="s">
        <v>712</v>
      </c>
      <c r="P34" s="103" t="s"/>
      <c r="Q34" s="111" t="s"/>
      <c r="R34" s="105" t="s"/>
      <c r="S34" s="106" t="s"/>
      <c r="T34" s="98" t="s">
        <v>706</v>
      </c>
      <c r="U34" s="98">
        <f>=COUNTIF(F:F,T34)</f>
        <v>0</v>
      </c>
      <c r="V34" s="107">
        <f>=COUNTIFS($F:$F,$T34,$H:$H,$V$1)</f>
        <v>0</v>
      </c>
      <c r="W34" s="107">
        <f>=COUNTIFS($F:$F,$T34,$H:$H,$W$1)</f>
        <v>0</v>
      </c>
      <c r="X34" s="107">
        <f>=COUNTIFS($F:$F,$T34,$H:$H,$X$1)</f>
        <v>0</v>
      </c>
      <c r="Z34" s="98" t="s"/>
      <c r="AA34" s="98" t="s"/>
      <c r="AB34" s="98" t="s"/>
      <c r="AC34" s="98" t="s"/>
      <c r="AD34" s="98" t="s"/>
      <c r="AE34" s="98" t="s"/>
      <c r="AF34" s="98" t="s"/>
      <c r="AG34" s="98" t="s"/>
      <c r="AH34" s="98" t="s"/>
      <c r="AI34" s="98" t="s"/>
      <c r="AJ34" s="98" t="s"/>
    </row>
    <row r="35" spans="1:36">
      <c r="A35" s="98">
        <v>34</v>
      </c>
      <c r="B35" s="99" t="s">
        <v>713</v>
      </c>
      <c r="C35" s="100">
        <v>46080.6676157408</v>
      </c>
      <c r="D35" s="98">
        <v>12</v>
      </c>
      <c r="E35" s="118">
        <v>46081</v>
      </c>
      <c r="F35" s="107" t="s">
        <v>236</v>
      </c>
      <c r="G35" s="98" t="s">
        <v>714</v>
      </c>
      <c r="H35" s="101" t="s">
        <v>607</v>
      </c>
      <c r="I35" s="98" t="s">
        <v>609</v>
      </c>
      <c r="J35" s="123" t="s">
        <f>=_xlfn.TEXTJOIN("+",TRUE,_xlfn._xlws.FILTER(_xlfn.TEXTSPLIT(H35,,"+"),(_xlfn.TEXTSPLIT(H35,,"+")&lt;&gt;"埃米工具")*(_xlfn.TEXTSPLIT(H35,,"+")&lt;&gt;"埃米广告通")))</f>
        <v>607</v>
      </c>
      <c r="K35" s="109">
        <f>=EDATE(C35,D35)</f>
        <v>46445</v>
      </c>
      <c r="L35" s="109" t="s"/>
      <c r="M35" s="102" t="s"/>
      <c r="N35" s="101" t="s">
        <v>611</v>
      </c>
      <c r="O35" s="110" t="s">
        <v>715</v>
      </c>
      <c r="P35" s="103" t="s"/>
      <c r="Q35" s="111" t="s"/>
      <c r="R35" s="105" t="s"/>
      <c r="S35" s="105" t="s"/>
      <c r="T35" s="97" t="s">
        <v>709</v>
      </c>
      <c r="U35" s="97">
        <f>=COUNTIF(F:F,T35)</f>
        <v>0</v>
      </c>
      <c r="V35" s="107">
        <f>=COUNTIFS($F:$F,$T35,$H:$H,$V$1)</f>
        <v>0</v>
      </c>
      <c r="W35" s="107">
        <f>=COUNTIFS($F:$F,$T35,$H:$H,$W$1)</f>
        <v>0</v>
      </c>
      <c r="X35" s="107">
        <f>=COUNTIFS($F:$F,$T35,$H:$H,$X$1)</f>
        <v>0</v>
      </c>
      <c r="Z35" s="98" t="s"/>
      <c r="AA35" s="98" t="s"/>
      <c r="AB35" s="98" t="s"/>
      <c r="AC35" s="98" t="s"/>
      <c r="AD35" s="98" t="s"/>
      <c r="AE35" s="98" t="s"/>
      <c r="AF35" s="98" t="s"/>
      <c r="AG35" s="98" t="s"/>
      <c r="AH35" s="98" t="s"/>
      <c r="AI35" s="98" t="s"/>
      <c r="AJ35" s="98" t="s"/>
    </row>
    <row r="36" spans="1:36">
      <c r="A36" s="98">
        <v>35</v>
      </c>
      <c r="B36" s="99" t="s">
        <v>716</v>
      </c>
      <c r="C36" s="100">
        <v>46080.7506712962</v>
      </c>
      <c r="D36" s="98">
        <v>12</v>
      </c>
      <c r="E36" s="118">
        <v>46081</v>
      </c>
      <c r="F36" s="107" t="s">
        <v>236</v>
      </c>
      <c r="G36" s="98" t="s">
        <v>717</v>
      </c>
      <c r="H36" s="101" t="s">
        <v>607</v>
      </c>
      <c r="I36" s="98" t="s">
        <v>609</v>
      </c>
      <c r="J36" s="123" t="s">
        <f>=_xlfn.TEXTJOIN("+",TRUE,_xlfn._xlws.FILTER(_xlfn.TEXTSPLIT(H36,,"+"),(_xlfn.TEXTSPLIT(H36,,"+")&lt;&gt;"埃米工具")*(_xlfn.TEXTSPLIT(H36,,"+")&lt;&gt;"埃米广告通")))</f>
        <v>607</v>
      </c>
      <c r="K36" s="109">
        <f>=EDATE(C36,D36)</f>
        <v>46445</v>
      </c>
      <c r="L36" s="109" t="s"/>
      <c r="M36" s="102" t="s"/>
      <c r="N36" s="101" t="s">
        <v>611</v>
      </c>
      <c r="O36" s="131" t="s">
        <v>718</v>
      </c>
      <c r="P36" s="110" t="s">
        <v>719</v>
      </c>
      <c r="Q36" s="111" t="s"/>
      <c r="R36" s="105" t="s"/>
      <c r="S36" s="105" t="s"/>
      <c r="T36" s="97" t="s">
        <v>720</v>
      </c>
      <c r="U36" s="97">
        <f>=COUNTIF(F:F,T36)</f>
        <v>0</v>
      </c>
      <c r="V36" s="107">
        <f>=COUNTIFS($F:$F,$T36,$H:$H,$V$1)</f>
        <v>0</v>
      </c>
      <c r="W36" s="107">
        <f>=COUNTIFS($F:$F,$T36,$H:$H,$W$1)</f>
        <v>0</v>
      </c>
      <c r="X36" s="107">
        <f>=COUNTIFS($F:$F,$T36,$H:$H,$X$1)</f>
        <v>0</v>
      </c>
      <c r="Z36" s="100" t="s"/>
      <c r="AA36" s="98" t="s"/>
      <c r="AB36" s="98" t="s"/>
      <c r="AC36" s="98" t="s"/>
      <c r="AD36" s="98" t="s"/>
      <c r="AE36" s="98" t="s"/>
      <c r="AF36" s="98" t="s"/>
      <c r="AG36" s="98" t="s"/>
      <c r="AH36" s="98" t="s"/>
      <c r="AI36" s="98" t="s"/>
      <c r="AJ36" s="98" t="s"/>
    </row>
    <row r="37" spans="1:36">
      <c r="A37" s="98">
        <v>36</v>
      </c>
      <c r="B37" s="99" t="s">
        <v>31</v>
      </c>
      <c r="C37" s="100">
        <v>46080.7491319444</v>
      </c>
      <c r="D37" s="98">
        <v>12</v>
      </c>
      <c r="E37" s="118">
        <v>46081</v>
      </c>
      <c r="F37" s="107" t="s">
        <v>215</v>
      </c>
      <c r="G37" s="98" t="s">
        <v>721</v>
      </c>
      <c r="H37" s="101" t="s">
        <v>606</v>
      </c>
      <c r="I37" s="98" t="s">
        <v>609</v>
      </c>
      <c r="J37" s="123" t="s">
        <f>=_xlfn.TEXTJOIN("+",TRUE,_xlfn._xlws.FILTER(_xlfn.TEXTSPLIT(H37,,"+"),(_xlfn.TEXTSPLIT(H37,,"+")&lt;&gt;"埃米工具")*(_xlfn.TEXTSPLIT(H37,,"+")&lt;&gt;"埃米广告通")))</f>
        <v>15</v>
      </c>
      <c r="K37" s="109">
        <f>=EDATE(C37,D37)</f>
        <v>46445</v>
      </c>
      <c r="L37" s="120">
        <v>46085</v>
      </c>
      <c r="M37" s="102" t="s">
        <v>722</v>
      </c>
      <c r="N37" s="101" t="s">
        <v>611</v>
      </c>
      <c r="O37" s="110" t="s">
        <v>723</v>
      </c>
      <c r="P37" s="110" t="s"/>
      <c r="Q37" s="111" t="s"/>
      <c r="R37" s="105" t="s"/>
      <c r="S37" s="106" t="s"/>
      <c r="T37" s="98" t="s">
        <v>720</v>
      </c>
      <c r="U37" s="97">
        <f>=COUNTIF(F:F,T37)</f>
        <v>0</v>
      </c>
      <c r="V37" s="107">
        <f>=COUNTIFS($F:$F,$T37,$H:$H,$V$1)</f>
        <v>0</v>
      </c>
      <c r="W37" s="107">
        <f>=COUNTIFS($F:$F,$T37,$H:$H,$W$1)</f>
        <v>0</v>
      </c>
      <c r="X37" s="107">
        <f>=COUNTIFS($F:$F,$T37,$H:$H,$X$1)</f>
        <v>0</v>
      </c>
      <c r="Z37" s="98" t="s"/>
      <c r="AA37" s="98" t="s"/>
      <c r="AB37" s="98" t="s"/>
      <c r="AC37" s="98" t="s"/>
      <c r="AD37" s="98" t="s"/>
      <c r="AE37" s="98" t="s"/>
      <c r="AF37" s="98" t="s"/>
      <c r="AG37" s="98" t="s"/>
      <c r="AH37" s="98" t="s"/>
      <c r="AI37" s="98" t="s"/>
      <c r="AJ37" s="98" t="s"/>
    </row>
    <row r="38" spans="1:36">
      <c r="A38" s="98">
        <v>37</v>
      </c>
      <c r="B38" s="99" t="s">
        <v>724</v>
      </c>
      <c r="C38" s="132">
        <v>46115.6394791667</v>
      </c>
      <c r="D38" s="98">
        <v>1</v>
      </c>
      <c r="E38" s="118">
        <v>46081</v>
      </c>
      <c r="F38" s="107" t="s">
        <v>215</v>
      </c>
      <c r="G38" s="98" t="s">
        <v>725</v>
      </c>
      <c r="H38" s="101" t="s">
        <v>607</v>
      </c>
      <c r="I38" s="98" t="s">
        <v>726</v>
      </c>
      <c r="J38" s="123" t="s">
        <f>=_xlfn.TEXTJOIN("+",TRUE,_xlfn._xlws.FILTER(_xlfn.TEXTSPLIT(H38,,"+"),(_xlfn.TEXTSPLIT(H38,,"+")&lt;&gt;"埃米工具")*(_xlfn.TEXTSPLIT(H38,,"+")&lt;&gt;"埃米广告通")))</f>
        <v>607</v>
      </c>
      <c r="K38" s="109">
        <f>=EDATE(C38,D38)</f>
        <v>46145</v>
      </c>
      <c r="L38" s="109" t="s"/>
      <c r="M38" s="102" t="s"/>
      <c r="N38" s="101" t="s">
        <v>611</v>
      </c>
      <c r="O38" s="110" t="s">
        <v>727</v>
      </c>
      <c r="P38" s="110" t="s">
        <v>728</v>
      </c>
      <c r="Q38" s="111" t="s"/>
      <c r="R38" s="105" t="s"/>
      <c r="S38" s="105" t="s"/>
      <c r="T38" s="97" t="s">
        <v>729</v>
      </c>
      <c r="U38" s="97" t="s"/>
      <c r="V38" s="133" t="s"/>
      <c r="W38" s="133" t="s"/>
      <c r="X38" s="133" t="s"/>
      <c r="Z38" s="98" t="s"/>
      <c r="AA38" s="98" t="s"/>
      <c r="AB38" s="98" t="s"/>
      <c r="AC38" s="98" t="s"/>
      <c r="AD38" s="98" t="s"/>
      <c r="AE38" s="98" t="s"/>
      <c r="AF38" s="98" t="s"/>
      <c r="AG38" s="98" t="s"/>
      <c r="AH38" s="98" t="s"/>
      <c r="AI38" s="98" t="s"/>
      <c r="AJ38" s="98" t="s"/>
    </row>
    <row r="39" spans="1:36">
      <c r="A39" s="98">
        <v>38</v>
      </c>
      <c r="B39" s="99" t="s">
        <v>730</v>
      </c>
      <c r="C39" s="100">
        <v>46080.7950578704</v>
      </c>
      <c r="D39" s="98">
        <v>2</v>
      </c>
      <c r="E39" s="118">
        <v>46081</v>
      </c>
      <c r="F39" s="98" t="s">
        <v>224</v>
      </c>
      <c r="G39" s="98" t="s">
        <v>731</v>
      </c>
      <c r="H39" s="101" t="s">
        <v>607</v>
      </c>
      <c r="I39" s="98" t="s">
        <v>646</v>
      </c>
      <c r="J39" s="123" t="s">
        <f>=_xlfn.TEXTJOIN("+",TRUE,_xlfn._xlws.FILTER(_xlfn.TEXTSPLIT(H39,,"+"),(_xlfn.TEXTSPLIT(H39,,"+")&lt;&gt;"埃米工具")*(_xlfn.TEXTSPLIT(H39,,"+")&lt;&gt;"埃米广告通")))</f>
        <v>607</v>
      </c>
      <c r="K39" s="109">
        <f>=EDATE(C39,D39)</f>
        <v>46139</v>
      </c>
      <c r="L39" s="109" t="s"/>
      <c r="M39" s="102" t="s"/>
      <c r="N39" s="101" t="s">
        <v>611</v>
      </c>
      <c r="O39" s="110" t="s">
        <v>732</v>
      </c>
      <c r="P39" s="110" t="s"/>
      <c r="Q39" s="111" t="s"/>
      <c r="R39" s="105" t="s"/>
      <c r="S39" s="105" t="s"/>
      <c r="T39" s="97" t="s">
        <v>733</v>
      </c>
      <c r="U39" s="97">
        <f>=COUNTIF(F:F,T39)</f>
        <v>0</v>
      </c>
      <c r="V39" s="107">
        <f>=COUNTIFS($F:$F,$T39,$H:$H,$V$1)</f>
        <v>0</v>
      </c>
      <c r="W39" s="107">
        <f>=COUNTIFS($F:$F,$T39,$H:$H,$W$1)</f>
        <v>0</v>
      </c>
      <c r="X39" s="107">
        <f>=COUNTIFS($F:$F,$T39,$H:$H,$X$1)</f>
        <v>0</v>
      </c>
      <c r="Z39" s="98" t="s"/>
      <c r="AA39" s="98" t="s"/>
      <c r="AB39" s="98" t="s"/>
      <c r="AC39" s="98" t="s"/>
      <c r="AD39" s="98" t="s"/>
      <c r="AE39" s="98" t="s"/>
      <c r="AF39" s="98" t="s"/>
      <c r="AG39" s="98" t="s"/>
      <c r="AH39" s="98" t="s"/>
      <c r="AI39" s="98" t="s"/>
      <c r="AJ39" s="98" t="s"/>
    </row>
    <row r="40" spans="1:36">
      <c r="A40" s="98">
        <v>39</v>
      </c>
      <c r="B40" s="99" t="s">
        <v>33</v>
      </c>
      <c r="C40" s="100">
        <v>46081.4266435185</v>
      </c>
      <c r="D40" s="98">
        <v>12</v>
      </c>
      <c r="E40" s="100">
        <v>46081</v>
      </c>
      <c r="F40" s="98" t="s">
        <v>236</v>
      </c>
      <c r="G40" s="98" t="s">
        <v>734</v>
      </c>
      <c r="H40" s="101" t="s">
        <v>12</v>
      </c>
      <c r="I40" s="98" t="s">
        <v>609</v>
      </c>
      <c r="J40" s="123" t="s">
        <f>=_xlfn.TEXTJOIN("+",TRUE,_xlfn._xlws.FILTER(_xlfn.TEXTSPLIT(H40,,"+"),(_xlfn.TEXTSPLIT(H40,,"+")&lt;&gt;"埃米工具")*(_xlfn.TEXTSPLIT(H40,,"+")&lt;&gt;"埃米广告通")))</f>
        <v>12</v>
      </c>
      <c r="K40" s="109">
        <f>=EDATE(C40,D40)</f>
        <v>46446</v>
      </c>
      <c r="L40" s="120">
        <v>46084</v>
      </c>
      <c r="M40" s="102" t="s">
        <v>735</v>
      </c>
      <c r="N40" s="101" t="s">
        <v>611</v>
      </c>
      <c r="O40" s="110" t="s">
        <v>736</v>
      </c>
      <c r="P40" s="110" t="s"/>
      <c r="Q40" s="111" t="s"/>
      <c r="R40" s="105" t="s"/>
      <c r="S40" s="106" t="s"/>
      <c r="T40" s="98" t="s">
        <v>737</v>
      </c>
      <c r="U40" s="97">
        <f>=COUNTIF(F:F,T40)</f>
        <v>0</v>
      </c>
      <c r="V40" s="113">
        <f>=COUNTIFS($F:$F,$T40,$H:$H,$V$1)</f>
        <v>0</v>
      </c>
      <c r="W40" s="113">
        <f>=COUNTIFS($F:$F,$T40,$H:$H,$W$1)</f>
        <v>0</v>
      </c>
      <c r="X40" s="133" t="s"/>
      <c r="Z40" s="98" t="s"/>
      <c r="AA40" s="98" t="s"/>
      <c r="AB40" s="98" t="s"/>
      <c r="AC40" s="98" t="s"/>
      <c r="AD40" s="98" t="s"/>
      <c r="AE40" s="98" t="s"/>
      <c r="AF40" s="98" t="s"/>
      <c r="AG40" s="98" t="s"/>
      <c r="AH40" s="98" t="s"/>
      <c r="AI40" s="98" t="s"/>
      <c r="AJ40" s="98" t="s"/>
    </row>
    <row r="41" spans="1:36">
      <c r="A41" s="98">
        <v>40</v>
      </c>
      <c r="B41" s="99" t="s">
        <v>738</v>
      </c>
      <c r="C41" s="100">
        <v>46080.4032870371</v>
      </c>
      <c r="D41" s="98">
        <v>12</v>
      </c>
      <c r="E41" s="118">
        <v>46081</v>
      </c>
      <c r="F41" s="98" t="s">
        <v>236</v>
      </c>
      <c r="G41" s="98" t="s">
        <v>739</v>
      </c>
      <c r="H41" s="101" t="s">
        <v>607</v>
      </c>
      <c r="I41" s="98" t="s">
        <v>609</v>
      </c>
      <c r="J41" s="123" t="s">
        <f>=_xlfn.TEXTJOIN("+",TRUE,_xlfn._xlws.FILTER(_xlfn.TEXTSPLIT(H41,,"+"),(_xlfn.TEXTSPLIT(H41,,"+")&lt;&gt;"埃米工具")*(_xlfn.TEXTSPLIT(H41,,"+")&lt;&gt;"埃米广告通")))</f>
        <v>607</v>
      </c>
      <c r="K41" s="109">
        <f>=EDATE(C41,D41)</f>
        <v>46445</v>
      </c>
      <c r="L41" s="109" t="s"/>
      <c r="M41" s="102" t="s"/>
      <c r="N41" s="101" t="s">
        <v>611</v>
      </c>
      <c r="O41" s="110" t="s">
        <v>740</v>
      </c>
      <c r="P41" s="110" t="s"/>
      <c r="Q41" s="111" t="s"/>
      <c r="R41" s="105" t="s"/>
      <c r="S41" s="106" t="s"/>
      <c r="T41" s="98" t="s">
        <v>741</v>
      </c>
      <c r="U41" s="97">
        <f>=COUNTIF(F:F,T41)</f>
        <v>0</v>
      </c>
      <c r="V41" s="113">
        <f>=COUNTIFS($F:$F,$T41,$H:$H,$V$1)</f>
        <v>0</v>
      </c>
      <c r="W41" s="113">
        <f>=COUNTIFS($F:$F,$T41,$H:$H,$W$1)</f>
        <v>0</v>
      </c>
      <c r="X41" s="133" t="s"/>
      <c r="Z41" s="98" t="s"/>
      <c r="AA41" s="98" t="s"/>
      <c r="AB41" s="98" t="s"/>
      <c r="AC41" s="98" t="s"/>
      <c r="AD41" s="98" t="s"/>
      <c r="AE41" s="98" t="s"/>
      <c r="AF41" s="98" t="s"/>
      <c r="AG41" s="98" t="s"/>
      <c r="AH41" s="98" t="s"/>
      <c r="AI41" s="98" t="s"/>
      <c r="AJ41" s="98" t="s"/>
    </row>
    <row r="42" spans="1:36">
      <c r="A42" s="98">
        <v>41</v>
      </c>
      <c r="B42" s="99" t="s">
        <v>742</v>
      </c>
      <c r="C42" s="100">
        <v>46080.7452893519</v>
      </c>
      <c r="D42" s="98">
        <v>12</v>
      </c>
      <c r="E42" s="118">
        <v>46081</v>
      </c>
      <c r="F42" s="98" t="s">
        <v>224</v>
      </c>
      <c r="G42" s="98" t="s">
        <v>743</v>
      </c>
      <c r="H42" s="101" t="s">
        <v>607</v>
      </c>
      <c r="I42" s="98" t="s">
        <v>609</v>
      </c>
      <c r="J42" s="123" t="s">
        <f>=_xlfn.TEXTJOIN("+",TRUE,_xlfn._xlws.FILTER(_xlfn.TEXTSPLIT(H42,,"+"),(_xlfn.TEXTSPLIT(H42,,"+")&lt;&gt;"埃米工具")*(_xlfn.TEXTSPLIT(H42,,"+")&lt;&gt;"埃米广告通")))</f>
        <v>607</v>
      </c>
      <c r="K42" s="109">
        <f>=EDATE(C42,D42)</f>
        <v>46445</v>
      </c>
      <c r="L42" s="109" t="s"/>
      <c r="M42" s="102" t="s"/>
      <c r="N42" s="101" t="s">
        <v>611</v>
      </c>
      <c r="O42" s="110" t="s">
        <v>744</v>
      </c>
      <c r="P42" s="110" t="s"/>
      <c r="Q42" s="111" t="s"/>
      <c r="R42" s="105" t="s"/>
      <c r="S42" s="106" t="s"/>
      <c r="T42" s="98" t="s">
        <v>745</v>
      </c>
      <c r="U42" s="97">
        <f>=COUNTIF(F:F,T42)</f>
        <v>0</v>
      </c>
      <c r="V42" s="113">
        <f>=COUNTIFS($F:$F,$T42,$H:$H,$V$1)</f>
        <v>0</v>
      </c>
      <c r="W42" s="113">
        <f>=COUNTIFS($F:$F,$T42,$H:$H,$W$1)</f>
        <v>0</v>
      </c>
      <c r="X42" s="113">
        <f>=COUNTIFS($F:$F,$T42,$H:$H,$X$1)</f>
        <v>0</v>
      </c>
      <c r="Z42" s="98" t="s"/>
      <c r="AA42" s="98" t="s"/>
      <c r="AB42" s="98" t="s"/>
      <c r="AC42" s="98" t="s"/>
      <c r="AD42" s="98" t="s"/>
      <c r="AE42" s="98" t="s"/>
      <c r="AF42" s="98" t="s"/>
      <c r="AG42" s="98" t="s"/>
      <c r="AH42" s="98" t="s"/>
      <c r="AI42" s="98" t="s"/>
      <c r="AJ42" s="98" t="s"/>
    </row>
    <row r="43" spans="1:36">
      <c r="A43" s="98">
        <v>42</v>
      </c>
      <c r="B43" s="99" t="s">
        <v>34</v>
      </c>
      <c r="C43" s="100">
        <v>46080.7241782407</v>
      </c>
      <c r="D43" s="98">
        <v>24</v>
      </c>
      <c r="E43" s="118">
        <v>46081</v>
      </c>
      <c r="F43" s="98" t="s">
        <v>224</v>
      </c>
      <c r="G43" s="98" t="s">
        <v>746</v>
      </c>
      <c r="H43" s="101" t="s">
        <v>12</v>
      </c>
      <c r="I43" s="98" t="s">
        <v>609</v>
      </c>
      <c r="J43" s="123" t="s">
        <f>=_xlfn.TEXTJOIN("+",TRUE,_xlfn._xlws.FILTER(_xlfn.TEXTSPLIT(H43,,"+"),(_xlfn.TEXTSPLIT(H43,,"+")&lt;&gt;"埃米工具")*(_xlfn.TEXTSPLIT(H43,,"+")&lt;&gt;"埃米广告通")))</f>
        <v>12</v>
      </c>
      <c r="K43" s="109">
        <f>=EDATE(C43,D43)</f>
        <v>46810</v>
      </c>
      <c r="L43" s="120">
        <v>46083</v>
      </c>
      <c r="M43" s="102" t="s">
        <v>747</v>
      </c>
      <c r="N43" s="101" t="s">
        <v>611</v>
      </c>
      <c r="O43" s="134" t="s">
        <v>748</v>
      </c>
      <c r="P43" s="110" t="s"/>
      <c r="Q43" s="111" t="s"/>
      <c r="R43" s="105" t="s"/>
      <c r="S43" s="106" t="s"/>
      <c r="T43" s="98" t="s"/>
      <c r="U43" s="97" t="s"/>
      <c r="V43" s="133" t="s"/>
      <c r="W43" s="133" t="s"/>
      <c r="X43" s="133" t="s"/>
      <c r="Z43" s="98" t="s"/>
      <c r="AA43" s="98" t="s"/>
      <c r="AB43" s="98" t="s"/>
      <c r="AC43" s="98" t="s"/>
      <c r="AD43" s="98" t="s"/>
      <c r="AE43" s="98" t="s"/>
      <c r="AF43" s="98" t="s"/>
      <c r="AG43" s="98" t="s"/>
      <c r="AH43" s="98" t="s"/>
      <c r="AI43" s="98" t="s"/>
      <c r="AJ43" s="98" t="s"/>
    </row>
    <row r="44" spans="1:36">
      <c r="A44" s="98">
        <v>43</v>
      </c>
      <c r="B44" s="99" t="s">
        <v>36</v>
      </c>
      <c r="C44" s="100">
        <v>46080.6769444445</v>
      </c>
      <c r="D44" s="98">
        <v>12</v>
      </c>
      <c r="E44" s="118">
        <v>46081</v>
      </c>
      <c r="F44" s="98" t="s">
        <v>215</v>
      </c>
      <c r="G44" s="98" t="s">
        <v>749</v>
      </c>
      <c r="H44" s="101" t="s">
        <v>12</v>
      </c>
      <c r="I44" s="98" t="s">
        <v>609</v>
      </c>
      <c r="J44" s="123" t="s">
        <f>=_xlfn.TEXTJOIN("+",TRUE,_xlfn._xlws.FILTER(_xlfn.TEXTSPLIT(H44,,"+"),(_xlfn.TEXTSPLIT(H44,,"+")&lt;&gt;"埃米工具")*(_xlfn.TEXTSPLIT(H44,,"+")&lt;&gt;"埃米广告通")))</f>
        <v>12</v>
      </c>
      <c r="K44" s="109">
        <f>=EDATE(C44,D44)</f>
        <v>46445</v>
      </c>
      <c r="L44" s="120">
        <v>46106</v>
      </c>
      <c r="M44" s="102" t="s">
        <v>750</v>
      </c>
      <c r="N44" s="101" t="s">
        <v>611</v>
      </c>
      <c r="O44" s="110" t="s">
        <v>751</v>
      </c>
      <c r="P44" s="110" t="s"/>
      <c r="Q44" s="111" t="s"/>
      <c r="R44" s="105" t="s"/>
      <c r="S44" s="106" t="s"/>
      <c r="T44" s="98" t="s"/>
      <c r="U44" s="97" t="s"/>
      <c r="V44" s="133" t="s"/>
      <c r="W44" s="133" t="s"/>
      <c r="X44" s="133" t="s"/>
      <c r="Z44" s="98" t="s"/>
      <c r="AA44" s="98" t="s"/>
      <c r="AB44" s="98" t="s"/>
      <c r="AC44" s="98" t="s"/>
      <c r="AD44" s="98" t="s"/>
      <c r="AE44" s="98" t="s"/>
      <c r="AF44" s="98" t="s"/>
      <c r="AG44" s="98" t="s"/>
      <c r="AH44" s="98" t="s"/>
      <c r="AI44" s="98" t="s"/>
      <c r="AJ44" s="98" t="s"/>
    </row>
    <row r="45" spans="1:36">
      <c r="A45" s="98">
        <v>44</v>
      </c>
      <c r="B45" s="99" t="s">
        <v>752</v>
      </c>
      <c r="C45" s="100">
        <v>46081.3875115741</v>
      </c>
      <c r="D45" s="98">
        <v>12</v>
      </c>
      <c r="E45" s="118">
        <v>46081</v>
      </c>
      <c r="F45" s="98" t="s">
        <v>236</v>
      </c>
      <c r="G45" s="98" t="s">
        <v>753</v>
      </c>
      <c r="H45" s="101" t="s">
        <v>607</v>
      </c>
      <c r="I45" s="98" t="s">
        <v>609</v>
      </c>
      <c r="J45" s="123" t="s">
        <f>=_xlfn.TEXTJOIN("+",TRUE,_xlfn._xlws.FILTER(_xlfn.TEXTSPLIT(H45,,"+"),(_xlfn.TEXTSPLIT(H45,,"+")&lt;&gt;"埃米工具")*(_xlfn.TEXTSPLIT(H45,,"+")&lt;&gt;"埃米广告通")))</f>
        <v>607</v>
      </c>
      <c r="K45" s="109">
        <f>=EDATE(C45,D45)</f>
        <v>46446</v>
      </c>
      <c r="L45" s="109" t="s"/>
      <c r="M45" s="102" t="s"/>
      <c r="N45" s="101" t="s">
        <v>611</v>
      </c>
      <c r="O45" s="110" t="s">
        <v>715</v>
      </c>
      <c r="P45" s="110" t="s"/>
      <c r="Q45" s="111" t="s"/>
      <c r="R45" s="105" t="s"/>
      <c r="S45" s="106" t="s"/>
      <c r="T45" s="98" t="s"/>
      <c r="U45" s="97" t="s"/>
      <c r="V45" s="133" t="s"/>
      <c r="W45" s="133" t="s"/>
      <c r="X45" s="133" t="s"/>
      <c r="Z45" s="98" t="s"/>
      <c r="AA45" s="98" t="s"/>
      <c r="AB45" s="98" t="s"/>
      <c r="AC45" s="98" t="s"/>
      <c r="AD45" s="98" t="s"/>
      <c r="AE45" s="98" t="s"/>
      <c r="AF45" s="98" t="s"/>
      <c r="AG45" s="98" t="s"/>
      <c r="AH45" s="98" t="s"/>
      <c r="AI45" s="98" t="s"/>
      <c r="AJ45" s="98" t="s"/>
    </row>
    <row r="46" spans="1:36">
      <c r="A46" s="98">
        <v>45</v>
      </c>
      <c r="B46" s="99" t="s">
        <v>754</v>
      </c>
      <c r="C46" s="100">
        <v>46081.4586689815</v>
      </c>
      <c r="D46" s="98">
        <v>12</v>
      </c>
      <c r="E46" s="118">
        <v>46081</v>
      </c>
      <c r="F46" s="98" t="s">
        <v>234</v>
      </c>
      <c r="G46" s="98" t="s">
        <v>755</v>
      </c>
      <c r="H46" s="101" t="s">
        <v>607</v>
      </c>
      <c r="I46" s="98" t="s">
        <v>609</v>
      </c>
      <c r="J46" s="123" t="s">
        <f>=_xlfn.TEXTJOIN("+",TRUE,_xlfn._xlws.FILTER(_xlfn.TEXTSPLIT(H46,,"+"),(_xlfn.TEXTSPLIT(H46,,"+")&lt;&gt;"埃米工具")*(_xlfn.TEXTSPLIT(H46,,"+")&lt;&gt;"埃米广告通")))</f>
        <v>607</v>
      </c>
      <c r="K46" s="109">
        <f>=EDATE(C46,D46)</f>
        <v>46446</v>
      </c>
      <c r="L46" s="109" t="s"/>
      <c r="M46" s="102" t="s"/>
      <c r="N46" s="101" t="s">
        <v>611</v>
      </c>
      <c r="O46" s="110" t="s">
        <v>612</v>
      </c>
      <c r="P46" s="110" t="s"/>
      <c r="Q46" s="111" t="s"/>
      <c r="R46" s="105" t="s"/>
      <c r="S46" s="106" t="s"/>
      <c r="T46" s="98" t="s"/>
      <c r="U46" s="97" t="s"/>
      <c r="V46" s="133" t="s"/>
      <c r="W46" s="133" t="s"/>
      <c r="X46" s="133" t="s"/>
      <c r="Z46" s="98" t="s"/>
      <c r="AA46" s="98" t="s"/>
      <c r="AB46" s="98" t="s"/>
      <c r="AC46" s="98" t="s"/>
      <c r="AD46" s="98" t="s"/>
      <c r="AE46" s="98" t="s"/>
      <c r="AF46" s="98" t="s"/>
      <c r="AG46" s="98" t="s"/>
      <c r="AH46" s="98" t="s"/>
      <c r="AI46" s="98" t="s"/>
      <c r="AJ46" s="98" t="s"/>
    </row>
    <row r="47" spans="1:36">
      <c r="A47" s="98">
        <v>46</v>
      </c>
      <c r="B47" s="99" t="s">
        <v>756</v>
      </c>
      <c r="C47" s="100">
        <v>46081.3972800926</v>
      </c>
      <c r="D47" s="98">
        <v>12</v>
      </c>
      <c r="E47" s="118">
        <v>46081</v>
      </c>
      <c r="F47" s="98" t="s">
        <v>234</v>
      </c>
      <c r="G47" s="98" t="s">
        <v>757</v>
      </c>
      <c r="H47" s="101" t="s">
        <v>607</v>
      </c>
      <c r="I47" s="98" t="s">
        <v>646</v>
      </c>
      <c r="J47" s="123" t="s">
        <f>=_xlfn.TEXTJOIN("+",TRUE,_xlfn._xlws.FILTER(_xlfn.TEXTSPLIT(H47,,"+"),(_xlfn.TEXTSPLIT(H47,,"+")&lt;&gt;"埃米工具")*(_xlfn.TEXTSPLIT(H47,,"+")&lt;&gt;"埃米广告通")))</f>
        <v>607</v>
      </c>
      <c r="K47" s="109">
        <f>=EDATE(C47,D47)</f>
        <v>46446</v>
      </c>
      <c r="L47" s="109" t="s"/>
      <c r="M47" s="102" t="s"/>
      <c r="N47" s="101" t="s">
        <v>611</v>
      </c>
      <c r="O47" s="110" t="s">
        <v>758</v>
      </c>
      <c r="P47" s="127" t="s"/>
      <c r="Q47" s="111" t="s"/>
      <c r="R47" s="105" t="s"/>
      <c r="S47" s="106" t="s"/>
      <c r="T47" s="98" t="s"/>
      <c r="U47" s="97" t="s"/>
      <c r="V47" s="133" t="s"/>
      <c r="W47" s="133" t="s"/>
      <c r="X47" s="133" t="s"/>
      <c r="Z47" s="98" t="s"/>
      <c r="AA47" s="98" t="s"/>
      <c r="AB47" s="98" t="s"/>
      <c r="AC47" s="98" t="s"/>
      <c r="AD47" s="98" t="s"/>
      <c r="AE47" s="98" t="s"/>
      <c r="AF47" s="98" t="s"/>
      <c r="AG47" s="98" t="s"/>
      <c r="AH47" s="98" t="s"/>
      <c r="AI47" s="98" t="s"/>
      <c r="AJ47" s="98" t="s"/>
    </row>
    <row r="48" spans="1:36">
      <c r="A48" s="98">
        <v>47</v>
      </c>
      <c r="B48" s="99" t="s">
        <v>759</v>
      </c>
      <c r="C48" s="100">
        <v>46081.4103356482</v>
      </c>
      <c r="D48" s="98">
        <v>12</v>
      </c>
      <c r="E48" s="118">
        <v>46081</v>
      </c>
      <c r="F48" s="98" t="s">
        <v>215</v>
      </c>
      <c r="G48" s="98" t="s">
        <v>760</v>
      </c>
      <c r="H48" s="101" t="s">
        <v>607</v>
      </c>
      <c r="I48" s="103" t="s">
        <v>609</v>
      </c>
      <c r="J48" s="123" t="s">
        <f>=_xlfn.TEXTJOIN("+",TRUE,_xlfn._xlws.FILTER(_xlfn.TEXTSPLIT(H48,,"+"),(_xlfn.TEXTSPLIT(H48,,"+")&lt;&gt;"埃米工具")*(_xlfn.TEXTSPLIT(H48,,"+")&lt;&gt;"埃米广告通")))</f>
        <v>607</v>
      </c>
      <c r="K48" s="109">
        <f>=EDATE(C48,D48)</f>
        <v>46446</v>
      </c>
      <c r="L48" s="109" t="s"/>
      <c r="M48" s="102" t="s"/>
      <c r="N48" s="101" t="s">
        <v>611</v>
      </c>
      <c r="O48" s="110" t="s">
        <v>761</v>
      </c>
      <c r="P48" s="110" t="s"/>
      <c r="Q48" s="111" t="s"/>
      <c r="R48" s="105" t="s"/>
      <c r="S48" s="106" t="s"/>
      <c r="T48" s="98" t="s"/>
      <c r="U48" s="97" t="s"/>
      <c r="V48" s="133" t="s"/>
      <c r="W48" s="133" t="s"/>
      <c r="X48" s="133" t="s"/>
      <c r="Z48" s="98" t="s"/>
      <c r="AA48" s="98" t="s"/>
      <c r="AB48" s="98" t="s"/>
      <c r="AC48" s="98" t="s"/>
      <c r="AD48" s="98" t="s"/>
      <c r="AE48" s="98" t="s"/>
      <c r="AF48" s="98" t="s"/>
      <c r="AG48" s="98" t="s"/>
      <c r="AH48" s="98" t="s"/>
      <c r="AI48" s="98" t="s"/>
      <c r="AJ48" s="98" t="s"/>
    </row>
    <row r="49" spans="1:36">
      <c r="A49" s="98">
        <v>48</v>
      </c>
      <c r="B49" s="99" t="s">
        <v>762</v>
      </c>
      <c r="C49" s="100">
        <v>46081.5183912037</v>
      </c>
      <c r="D49" s="98">
        <v>12</v>
      </c>
      <c r="E49" s="118">
        <v>46081</v>
      </c>
      <c r="F49" s="103" t="s">
        <v>234</v>
      </c>
      <c r="G49" s="98" t="s">
        <v>763</v>
      </c>
      <c r="H49" s="101" t="s">
        <v>607</v>
      </c>
      <c r="I49" s="103" t="s">
        <v>609</v>
      </c>
      <c r="J49" s="123" t="s">
        <f>=_xlfn.TEXTJOIN("+",TRUE,_xlfn._xlws.FILTER(_xlfn.TEXTSPLIT(H49,,"+"),(_xlfn.TEXTSPLIT(H49,,"+")&lt;&gt;"埃米工具")*(_xlfn.TEXTSPLIT(H49,,"+")&lt;&gt;"埃米广告通")))</f>
        <v>607</v>
      </c>
      <c r="K49" s="109">
        <f>=EDATE(C49,D49)</f>
        <v>46446</v>
      </c>
      <c r="L49" s="120" t="s"/>
      <c r="M49" s="102" t="s"/>
      <c r="N49" s="101" t="s">
        <v>611</v>
      </c>
      <c r="O49" s="110" t="s"/>
      <c r="P49" s="110" t="s"/>
      <c r="Q49" s="111" t="s"/>
      <c r="R49" s="105" t="s"/>
      <c r="S49" s="106" t="s"/>
      <c r="T49" s="98" t="s"/>
      <c r="U49" s="97" t="s"/>
      <c r="V49" s="98" t="s"/>
      <c r="W49" s="98" t="s"/>
      <c r="X49" s="98" t="s"/>
      <c r="Z49" s="100" t="s"/>
      <c r="AA49" s="98" t="s"/>
      <c r="AB49" s="98" t="s"/>
      <c r="AC49" s="98" t="s"/>
      <c r="AD49" s="98" t="s"/>
      <c r="AE49" s="98" t="s"/>
      <c r="AF49" s="98" t="s"/>
      <c r="AG49" s="98" t="s"/>
      <c r="AH49" s="98" t="s"/>
      <c r="AI49" s="98" t="s"/>
      <c r="AJ49" s="98" t="s"/>
    </row>
    <row r="50" spans="1:36">
      <c r="A50" s="98">
        <v>49</v>
      </c>
      <c r="B50" s="99" t="s">
        <v>764</v>
      </c>
      <c r="C50" s="100">
        <v>46081.4612962962</v>
      </c>
      <c r="D50" s="98">
        <v>12</v>
      </c>
      <c r="E50" s="118">
        <v>46081</v>
      </c>
      <c r="F50" s="98" t="s">
        <v>236</v>
      </c>
      <c r="G50" s="98" t="s">
        <v>765</v>
      </c>
      <c r="H50" s="101" t="s">
        <v>607</v>
      </c>
      <c r="I50" s="98" t="s">
        <v>726</v>
      </c>
      <c r="J50" s="123" t="s">
        <f>=_xlfn.TEXTJOIN("+",TRUE,_xlfn._xlws.FILTER(_xlfn.TEXTSPLIT(H50,,"+"),(_xlfn.TEXTSPLIT(H50,,"+")&lt;&gt;"埃米工具")*(_xlfn.TEXTSPLIT(H50,,"+")&lt;&gt;"埃米广告通")))</f>
        <v>607</v>
      </c>
      <c r="K50" s="109">
        <f>=EDATE(C50,D50)</f>
        <v>46446</v>
      </c>
      <c r="L50" s="109" t="s"/>
      <c r="M50" s="102" t="s"/>
      <c r="N50" s="101" t="s">
        <v>611</v>
      </c>
      <c r="O50" s="135" t="s">
        <v>766</v>
      </c>
      <c r="P50" s="136" t="s"/>
      <c r="Q50" s="111" t="s"/>
      <c r="R50" s="105" t="s"/>
      <c r="S50" s="106" t="s"/>
      <c r="T50" s="98" t="s"/>
      <c r="U50" s="97" t="s"/>
      <c r="V50" s="98" t="s"/>
      <c r="W50" s="98" t="s"/>
      <c r="X50" s="98" t="s"/>
      <c r="Z50" s="98" t="s"/>
      <c r="AA50" s="98" t="s"/>
      <c r="AB50" s="98" t="s"/>
      <c r="AC50" s="98" t="s"/>
      <c r="AD50" s="98" t="s"/>
      <c r="AE50" s="98" t="s"/>
      <c r="AF50" s="98" t="s"/>
      <c r="AG50" s="98" t="s"/>
      <c r="AH50" s="98" t="s"/>
      <c r="AI50" s="98" t="s"/>
      <c r="AJ50" s="98" t="s"/>
    </row>
    <row r="51" spans="1:36">
      <c r="A51" s="98">
        <v>50</v>
      </c>
      <c r="B51" s="99" t="s">
        <v>767</v>
      </c>
      <c r="C51" s="100">
        <v>46081.5607638889</v>
      </c>
      <c r="D51" s="98">
        <v>12</v>
      </c>
      <c r="E51" s="118">
        <v>46081</v>
      </c>
      <c r="F51" s="98" t="s">
        <v>215</v>
      </c>
      <c r="G51" s="98" t="s">
        <v>768</v>
      </c>
      <c r="H51" s="101" t="s">
        <v>607</v>
      </c>
      <c r="I51" s="98" t="s">
        <v>609</v>
      </c>
      <c r="J51" s="123" t="s">
        <f>=_xlfn.TEXTJOIN("+",TRUE,_xlfn._xlws.FILTER(_xlfn.TEXTSPLIT(H51,,"+"),(_xlfn.TEXTSPLIT(H51,,"+")&lt;&gt;"埃米工具")*(_xlfn.TEXTSPLIT(H51,,"+")&lt;&gt;"埃米广告通")))</f>
        <v>607</v>
      </c>
      <c r="K51" s="109">
        <f>=EDATE(C51,D51)</f>
        <v>46446</v>
      </c>
      <c r="L51" s="109" t="s"/>
      <c r="M51" s="102" t="s"/>
      <c r="N51" s="101" t="s">
        <v>611</v>
      </c>
      <c r="O51" s="127" t="s">
        <v>769</v>
      </c>
      <c r="P51" s="127" t="s"/>
      <c r="Q51" s="111" t="s"/>
      <c r="R51" s="105" t="s"/>
      <c r="S51" s="106" t="s"/>
      <c r="T51" s="98" t="s"/>
      <c r="U51" s="97" t="s"/>
      <c r="V51" s="98" t="s"/>
      <c r="W51" s="98" t="s"/>
      <c r="X51" s="98" t="s"/>
      <c r="Z51" s="98" t="s"/>
      <c r="AA51" s="98" t="s"/>
      <c r="AB51" s="98" t="s"/>
      <c r="AC51" s="98" t="s"/>
      <c r="AD51" s="98" t="s"/>
      <c r="AE51" s="98" t="s"/>
      <c r="AF51" s="98" t="s"/>
      <c r="AG51" s="98" t="s"/>
      <c r="AH51" s="98" t="s"/>
      <c r="AI51" s="98" t="s"/>
      <c r="AJ51" s="98" t="s"/>
    </row>
    <row r="52" spans="1:36">
      <c r="A52" s="98">
        <v>51</v>
      </c>
      <c r="B52" s="99" t="s">
        <v>24</v>
      </c>
      <c r="C52" s="100">
        <v>46081.5269907408</v>
      </c>
      <c r="D52" s="98">
        <v>12</v>
      </c>
      <c r="E52" s="118">
        <v>46081</v>
      </c>
      <c r="F52" s="98" t="s">
        <v>236</v>
      </c>
      <c r="G52" s="98" t="s">
        <v>770</v>
      </c>
      <c r="H52" s="101" t="s">
        <v>12</v>
      </c>
      <c r="I52" s="98" t="s">
        <v>609</v>
      </c>
      <c r="J52" s="123" t="s">
        <f>=_xlfn.TEXTJOIN("+",TRUE,_xlfn._xlws.FILTER(_xlfn.TEXTSPLIT(H52,,"+"),(_xlfn.TEXTSPLIT(H52,,"+")&lt;&gt;"埃米工具")*(_xlfn.TEXTSPLIT(H52,,"+")&lt;&gt;"埃米广告通")))</f>
        <v>12</v>
      </c>
      <c r="K52" s="109">
        <f>=EDATE(C52,D52)</f>
        <v>46446</v>
      </c>
      <c r="L52" s="120">
        <v>46083</v>
      </c>
      <c r="M52" s="102" t="s">
        <v>771</v>
      </c>
      <c r="N52" s="101" t="s">
        <v>611</v>
      </c>
      <c r="O52" s="110" t="s">
        <v>772</v>
      </c>
      <c r="P52" s="110" t="s"/>
      <c r="Q52" s="111" t="s"/>
      <c r="R52" s="105" t="s"/>
      <c r="S52" s="106" t="s"/>
      <c r="T52" s="98" t="s"/>
      <c r="U52" s="97" t="s"/>
      <c r="V52" s="98" t="s"/>
      <c r="W52" s="98" t="s"/>
      <c r="X52" s="98" t="s"/>
      <c r="Z52" s="98" t="s"/>
      <c r="AA52" s="98" t="s"/>
      <c r="AB52" s="98" t="s"/>
      <c r="AC52" s="98" t="s"/>
      <c r="AD52" s="98" t="s"/>
      <c r="AE52" s="98" t="s"/>
      <c r="AF52" s="98" t="s"/>
      <c r="AG52" s="98" t="s"/>
      <c r="AH52" s="98" t="s"/>
      <c r="AI52" s="98" t="s"/>
      <c r="AJ52" s="98" t="s"/>
    </row>
    <row r="53" spans="1:36">
      <c r="A53" s="98">
        <v>52</v>
      </c>
      <c r="B53" s="99" t="s">
        <v>773</v>
      </c>
      <c r="C53" s="100">
        <v>46081.6109953704</v>
      </c>
      <c r="D53" s="98">
        <v>12</v>
      </c>
      <c r="E53" s="118">
        <v>46081</v>
      </c>
      <c r="F53" s="98" t="s">
        <v>215</v>
      </c>
      <c r="G53" s="98" t="s">
        <v>774</v>
      </c>
      <c r="H53" s="101" t="s">
        <v>607</v>
      </c>
      <c r="I53" s="98" t="s">
        <v>609</v>
      </c>
      <c r="J53" s="123" t="s">
        <f>=_xlfn.TEXTJOIN("+",TRUE,_xlfn._xlws.FILTER(_xlfn.TEXTSPLIT(H53,,"+"),(_xlfn.TEXTSPLIT(H53,,"+")&lt;&gt;"埃米工具")*(_xlfn.TEXTSPLIT(H53,,"+")&lt;&gt;"埃米广告通")))</f>
        <v>607</v>
      </c>
      <c r="K53" s="109">
        <f>=EDATE(C53,D53)</f>
        <v>46446</v>
      </c>
      <c r="L53" s="100" t="s"/>
      <c r="M53" s="102" t="s"/>
      <c r="N53" s="101" t="s">
        <v>611</v>
      </c>
      <c r="O53" s="103" t="s">
        <v>775</v>
      </c>
      <c r="P53" s="103" t="s"/>
      <c r="Q53" s="111" t="s"/>
      <c r="R53" s="105" t="s"/>
      <c r="S53" s="106" t="s"/>
      <c r="T53" s="98" t="s"/>
      <c r="U53" s="98" t="s"/>
      <c r="V53" s="98" t="s"/>
      <c r="W53" s="98" t="s"/>
      <c r="X53" s="98" t="s"/>
      <c r="Z53" s="98" t="s"/>
      <c r="AA53" s="98" t="s"/>
      <c r="AB53" s="98" t="s"/>
      <c r="AC53" s="98" t="s"/>
      <c r="AD53" s="98" t="s"/>
      <c r="AE53" s="98" t="s"/>
      <c r="AF53" s="98" t="s"/>
      <c r="AG53" s="98" t="s"/>
      <c r="AH53" s="98" t="s"/>
      <c r="AI53" s="98" t="s"/>
      <c r="AJ53" s="98" t="s"/>
    </row>
    <row r="54" spans="1:39" s="426" customFormat="true">
      <c r="A54" s="98">
        <v>53</v>
      </c>
      <c r="B54" s="99" t="s">
        <v>776</v>
      </c>
      <c r="C54" s="100">
        <v>46081.636875</v>
      </c>
      <c r="D54" s="98">
        <v>12</v>
      </c>
      <c r="E54" s="118">
        <v>46081</v>
      </c>
      <c r="F54" s="98" t="s">
        <v>224</v>
      </c>
      <c r="G54" s="98" t="s">
        <v>777</v>
      </c>
      <c r="H54" s="101" t="s">
        <v>607</v>
      </c>
      <c r="I54" s="98" t="s">
        <v>609</v>
      </c>
      <c r="J54" s="123" t="s">
        <f>=_xlfn.TEXTJOIN("+",TRUE,_xlfn._xlws.FILTER(_xlfn.TEXTSPLIT(H54,,"+"),(_xlfn.TEXTSPLIT(H54,,"+")&lt;&gt;"埃米工具")*(_xlfn.TEXTSPLIT(H54,,"+")&lt;&gt;"埃米广告通")))</f>
        <v>607</v>
      </c>
      <c r="K54" s="109">
        <f>=EDATE(C54,D54)</f>
        <v>46446</v>
      </c>
      <c r="L54" s="109" t="s"/>
      <c r="M54" s="102" t="s"/>
      <c r="N54" s="101" t="s">
        <v>611</v>
      </c>
      <c r="O54" s="110" t="s">
        <v>697</v>
      </c>
      <c r="P54" s="110" t="s"/>
      <c r="Q54" s="111" t="s"/>
      <c r="R54" s="105" t="s"/>
      <c r="S54" s="105" t="s"/>
      <c r="T54" s="97" t="s"/>
      <c r="U54" s="97" t="s"/>
      <c r="V54" s="97" t="s"/>
      <c r="W54" s="97" t="s"/>
      <c r="X54" s="97" t="s"/>
      <c r="Y54" s="97" t="s"/>
      <c r="Z54" s="98" t="s"/>
      <c r="AA54" s="98" t="s"/>
      <c r="AB54" s="98" t="s"/>
      <c r="AC54" s="98" t="s"/>
      <c r="AD54" s="98" t="s"/>
      <c r="AE54" s="98" t="s"/>
      <c r="AF54" s="98" t="s"/>
      <c r="AG54" s="98" t="s"/>
      <c r="AH54" s="98" t="s"/>
      <c r="AI54" s="98" t="s"/>
      <c r="AJ54" s="98" t="s"/>
      <c r="AK54" s="97" t="s"/>
      <c r="AL54" s="97" t="s"/>
      <c r="AM54" s="97" t="s"/>
    </row>
    <row r="55" spans="1:39" s="426" customFormat="true">
      <c r="A55" s="98">
        <v>54</v>
      </c>
      <c r="B55" s="99" t="s">
        <v>778</v>
      </c>
      <c r="C55" s="100">
        <v>46081.6486921296</v>
      </c>
      <c r="D55" s="98">
        <v>12</v>
      </c>
      <c r="E55" s="118">
        <v>46081</v>
      </c>
      <c r="F55" s="98" t="s">
        <v>236</v>
      </c>
      <c r="G55" s="98" t="s">
        <v>779</v>
      </c>
      <c r="H55" s="101" t="s">
        <v>607</v>
      </c>
      <c r="I55" s="98" t="s">
        <v>609</v>
      </c>
      <c r="J55" s="123" t="s">
        <f>=_xlfn.TEXTJOIN("+",TRUE,_xlfn._xlws.FILTER(_xlfn.TEXTSPLIT(H55,,"+"),(_xlfn.TEXTSPLIT(H55,,"+")&lt;&gt;"埃米工具")*(_xlfn.TEXTSPLIT(H55,,"+")&lt;&gt;"埃米广告通")))</f>
        <v>607</v>
      </c>
      <c r="K55" s="109">
        <f>=EDATE(C55,D55)</f>
        <v>46446</v>
      </c>
      <c r="L55" s="109" t="s"/>
      <c r="M55" s="102" t="s"/>
      <c r="N55" s="101" t="s">
        <v>611</v>
      </c>
      <c r="O55" s="110" t="s">
        <v>780</v>
      </c>
      <c r="P55" s="110" t="s"/>
      <c r="Q55" s="111" t="s"/>
      <c r="R55" s="105" t="s"/>
      <c r="S55" s="105" t="s"/>
      <c r="T55" s="97" t="s"/>
      <c r="U55" s="97" t="s"/>
      <c r="V55" s="97" t="s"/>
      <c r="W55" s="97" t="s"/>
      <c r="X55" s="97" t="s"/>
      <c r="Y55" s="97" t="s"/>
      <c r="Z55" s="98" t="s"/>
      <c r="AA55" s="98" t="s"/>
      <c r="AB55" s="98" t="s"/>
      <c r="AC55" s="98" t="s"/>
      <c r="AD55" s="98" t="s"/>
      <c r="AE55" s="98" t="s"/>
      <c r="AF55" s="98" t="s"/>
      <c r="AG55" s="98" t="s"/>
      <c r="AH55" s="98" t="s"/>
      <c r="AI55" s="98" t="s"/>
      <c r="AJ55" s="98" t="s"/>
      <c r="AK55" s="97" t="s"/>
      <c r="AL55" s="97" t="s"/>
      <c r="AM55" s="97" t="s"/>
    </row>
    <row r="56" spans="1:39" s="426" customFormat="true">
      <c r="A56" s="98">
        <v>55</v>
      </c>
      <c r="B56" s="99" t="s">
        <v>37</v>
      </c>
      <c r="C56" s="100">
        <v>46081.6634027778</v>
      </c>
      <c r="D56" s="98">
        <v>12</v>
      </c>
      <c r="E56" s="118">
        <v>46081</v>
      </c>
      <c r="F56" s="98" t="s">
        <v>234</v>
      </c>
      <c r="G56" s="98" t="s">
        <v>781</v>
      </c>
      <c r="H56" s="101" t="s">
        <v>12</v>
      </c>
      <c r="I56" s="98" t="s">
        <v>609</v>
      </c>
      <c r="J56" s="123" t="s">
        <f>=_xlfn.TEXTJOIN("+",TRUE,_xlfn._xlws.FILTER(_xlfn.TEXTSPLIT(H56,,"+"),(_xlfn.TEXTSPLIT(H56,,"+")&lt;&gt;"埃米工具")*(_xlfn.TEXTSPLIT(H56,,"+")&lt;&gt;"埃米广告通")))</f>
        <v>12</v>
      </c>
      <c r="K56" s="109">
        <f>=EDATE(C56,D56)</f>
        <v>46446</v>
      </c>
      <c r="L56" s="120">
        <v>46093</v>
      </c>
      <c r="M56" s="102" t="s">
        <v>782</v>
      </c>
      <c r="N56" s="101" t="s">
        <v>611</v>
      </c>
      <c r="O56" s="110" t="s">
        <v>740</v>
      </c>
      <c r="P56" s="110" t="s"/>
      <c r="Q56" s="111" t="s"/>
      <c r="R56" s="105" t="s"/>
      <c r="S56" s="105" t="s"/>
      <c r="T56" s="97" t="s"/>
      <c r="U56" s="97" t="s"/>
      <c r="V56" s="97" t="s"/>
      <c r="W56" s="97" t="s"/>
      <c r="X56" s="97" t="s"/>
      <c r="Y56" s="97" t="s"/>
      <c r="Z56" s="98" t="s"/>
      <c r="AA56" s="98" t="s"/>
      <c r="AB56" s="98" t="s"/>
      <c r="AC56" s="98" t="s"/>
      <c r="AD56" s="98" t="s"/>
      <c r="AE56" s="98" t="s"/>
      <c r="AF56" s="98" t="s"/>
      <c r="AG56" s="98" t="s"/>
      <c r="AH56" s="98" t="s"/>
      <c r="AI56" s="98" t="s"/>
      <c r="AJ56" s="98" t="s"/>
      <c r="AK56" s="97" t="s"/>
      <c r="AL56" s="97" t="s"/>
      <c r="AM56" s="97" t="s"/>
    </row>
    <row r="57" spans="1:39" s="426" customFormat="true">
      <c r="A57" s="98">
        <v>56</v>
      </c>
      <c r="B57" s="99" t="s">
        <v>783</v>
      </c>
      <c r="C57" s="100">
        <v>46081.6173032407</v>
      </c>
      <c r="D57" s="98">
        <v>12</v>
      </c>
      <c r="E57" s="118">
        <v>46081</v>
      </c>
      <c r="F57" s="98" t="s">
        <v>236</v>
      </c>
      <c r="G57" s="98" t="s">
        <v>784</v>
      </c>
      <c r="H57" s="101" t="s">
        <v>607</v>
      </c>
      <c r="I57" s="98" t="s">
        <v>609</v>
      </c>
      <c r="J57" s="123" t="s">
        <f>=_xlfn.TEXTJOIN("+",TRUE,_xlfn._xlws.FILTER(_xlfn.TEXTSPLIT(H57,,"+"),(_xlfn.TEXTSPLIT(H57,,"+")&lt;&gt;"埃米工具")*(_xlfn.TEXTSPLIT(H57,,"+")&lt;&gt;"埃米广告通")))</f>
        <v>607</v>
      </c>
      <c r="K57" s="109">
        <f>=EDATE(C57,D57)</f>
        <v>46446</v>
      </c>
      <c r="L57" s="109" t="s"/>
      <c r="M57" s="102" t="s"/>
      <c r="N57" s="101" t="s">
        <v>611</v>
      </c>
      <c r="O57" s="110" t="s"/>
      <c r="P57" s="110" t="s"/>
      <c r="Q57" s="111" t="s"/>
      <c r="R57" s="105" t="s"/>
      <c r="S57" s="105" t="s"/>
      <c r="T57" s="97" t="s"/>
      <c r="U57" s="97" t="s"/>
      <c r="V57" s="97" t="s"/>
      <c r="W57" s="97" t="s"/>
      <c r="X57" s="97" t="s"/>
      <c r="Y57" s="97" t="s"/>
      <c r="Z57" s="100" t="s"/>
      <c r="AA57" s="98" t="s"/>
      <c r="AB57" s="98" t="s"/>
      <c r="AC57" s="98" t="s"/>
      <c r="AD57" s="98" t="s"/>
      <c r="AE57" s="98" t="s"/>
      <c r="AF57" s="98" t="s"/>
      <c r="AG57" s="98" t="s"/>
      <c r="AH57" s="98" t="s"/>
      <c r="AI57" s="98" t="s"/>
      <c r="AJ57" s="98" t="s"/>
      <c r="AK57" s="97" t="s"/>
      <c r="AL57" s="97" t="s"/>
      <c r="AM57" s="97" t="s"/>
    </row>
    <row r="58" spans="1:39" s="426" customFormat="true">
      <c r="A58" s="98">
        <v>57</v>
      </c>
      <c r="B58" s="99" t="s">
        <v>107</v>
      </c>
      <c r="C58" s="100">
        <v>46081.6726273148</v>
      </c>
      <c r="D58" s="98">
        <v>12</v>
      </c>
      <c r="E58" s="118">
        <v>46081</v>
      </c>
      <c r="F58" s="98" t="s">
        <v>234</v>
      </c>
      <c r="G58" s="98" t="s">
        <v>785</v>
      </c>
      <c r="H58" s="101" t="s">
        <v>12</v>
      </c>
      <c r="I58" s="98" t="s">
        <v>609</v>
      </c>
      <c r="J58" s="123" t="s">
        <f>=_xlfn.TEXTJOIN("+",TRUE,_xlfn._xlws.FILTER(_xlfn.TEXTSPLIT(H58,,"+"),(_xlfn.TEXTSPLIT(H58,,"+")&lt;&gt;"埃米工具")*(_xlfn.TEXTSPLIT(H58,,"+")&lt;&gt;"埃米广告通")))</f>
        <v>12</v>
      </c>
      <c r="K58" s="109">
        <f>=EDATE(C58,D58)</f>
        <v>46446</v>
      </c>
      <c r="L58" s="120">
        <v>46097</v>
      </c>
      <c r="M58" s="102" t="s">
        <v>610</v>
      </c>
      <c r="N58" s="101" t="s">
        <v>611</v>
      </c>
      <c r="O58" s="110" t="s">
        <v>703</v>
      </c>
      <c r="P58" s="110" t="s"/>
      <c r="Q58" s="111" t="s"/>
      <c r="R58" s="105" t="s"/>
      <c r="S58" s="105" t="s"/>
      <c r="T58" s="97" t="s"/>
      <c r="U58" s="97" t="s"/>
      <c r="V58" s="97" t="s"/>
      <c r="W58" s="97" t="s"/>
      <c r="X58" s="97" t="s"/>
      <c r="Y58" s="97" t="s"/>
      <c r="Z58" s="98" t="s"/>
      <c r="AA58" s="98" t="s"/>
      <c r="AB58" s="98" t="s"/>
      <c r="AC58" s="98" t="s"/>
      <c r="AD58" s="98" t="s"/>
      <c r="AE58" s="98" t="s"/>
      <c r="AF58" s="98" t="s"/>
      <c r="AG58" s="98" t="s"/>
      <c r="AH58" s="98" t="s"/>
      <c r="AI58" s="98" t="s"/>
      <c r="AJ58" s="98" t="s"/>
      <c r="AK58" s="97" t="s"/>
      <c r="AL58" s="97" t="s"/>
      <c r="AM58" s="97" t="s"/>
    </row>
    <row r="59" spans="1:39" s="426" customFormat="true">
      <c r="A59" s="98">
        <v>58</v>
      </c>
      <c r="B59" s="99" t="s">
        <v>77</v>
      </c>
      <c r="C59" s="100">
        <v>46081.6544444444</v>
      </c>
      <c r="D59" s="98">
        <v>12</v>
      </c>
      <c r="E59" s="118">
        <v>46081</v>
      </c>
      <c r="F59" s="98" t="s">
        <v>224</v>
      </c>
      <c r="G59" s="98" t="s">
        <v>786</v>
      </c>
      <c r="H59" s="101" t="s">
        <v>12</v>
      </c>
      <c r="I59" s="98" t="s">
        <v>609</v>
      </c>
      <c r="J59" s="123" t="s">
        <f>=_xlfn.TEXTJOIN("+",TRUE,_xlfn._xlws.FILTER(_xlfn.TEXTSPLIT(H59,,"+"),(_xlfn.TEXTSPLIT(H59,,"+")&lt;&gt;"埃米工具")*(_xlfn.TEXTSPLIT(H59,,"+")&lt;&gt;"埃米广告通")))</f>
        <v>12</v>
      </c>
      <c r="K59" s="109">
        <f>=EDATE(C59,D59)</f>
        <v>46446</v>
      </c>
      <c r="L59" s="120">
        <v>46091</v>
      </c>
      <c r="M59" s="102" t="s">
        <v>787</v>
      </c>
      <c r="N59" s="101" t="s">
        <v>611</v>
      </c>
      <c r="O59" s="110" t="s">
        <v>703</v>
      </c>
      <c r="P59" s="110" t="s"/>
      <c r="Q59" s="111" t="s"/>
      <c r="R59" s="105" t="s"/>
      <c r="S59" s="105" t="s"/>
      <c r="T59" s="97" t="s"/>
      <c r="U59" s="97" t="s"/>
      <c r="V59" s="97" t="s"/>
      <c r="W59" s="97" t="s"/>
      <c r="X59" s="97" t="s"/>
      <c r="Y59" s="97" t="s"/>
      <c r="Z59" s="98" t="s"/>
      <c r="AA59" s="98" t="s"/>
      <c r="AB59" s="98" t="s"/>
      <c r="AC59" s="98" t="s"/>
      <c r="AD59" s="98" t="s"/>
      <c r="AE59" s="98" t="s"/>
      <c r="AF59" s="98" t="s"/>
      <c r="AG59" s="98" t="s"/>
      <c r="AH59" s="98" t="s"/>
      <c r="AI59" s="98" t="s"/>
      <c r="AJ59" s="98" t="s"/>
      <c r="AK59" s="97" t="s"/>
      <c r="AL59" s="97" t="s"/>
      <c r="AM59" s="97" t="s"/>
    </row>
    <row r="60" spans="1:39" s="426" customFormat="true">
      <c r="A60" s="98">
        <v>59</v>
      </c>
      <c r="B60" s="99" t="s">
        <v>788</v>
      </c>
      <c r="C60" s="100">
        <v>46081.6285300926</v>
      </c>
      <c r="D60" s="98">
        <v>12</v>
      </c>
      <c r="E60" s="118">
        <v>46081</v>
      </c>
      <c r="F60" s="98" t="s">
        <v>215</v>
      </c>
      <c r="G60" s="98" t="s">
        <v>789</v>
      </c>
      <c r="H60" s="101" t="s">
        <v>607</v>
      </c>
      <c r="I60" s="98" t="s">
        <v>609</v>
      </c>
      <c r="J60" s="123" t="s">
        <f>=_xlfn.TEXTJOIN("+",TRUE,_xlfn._xlws.FILTER(_xlfn.TEXTSPLIT(H60,,"+"),(_xlfn.TEXTSPLIT(H60,,"+")&lt;&gt;"埃米工具")*(_xlfn.TEXTSPLIT(H60,,"+")&lt;&gt;"埃米广告通")))</f>
        <v>607</v>
      </c>
      <c r="K60" s="109">
        <f>=EDATE(C60,D60)</f>
        <v>46446</v>
      </c>
      <c r="L60" s="109" t="s"/>
      <c r="M60" s="102" t="s"/>
      <c r="N60" s="101" t="s">
        <v>611</v>
      </c>
      <c r="O60" s="110" t="s">
        <v>790</v>
      </c>
      <c r="P60" s="110" t="s"/>
      <c r="Q60" s="111" t="s">
        <v>791</v>
      </c>
      <c r="R60" s="105" t="s"/>
      <c r="S60" s="105" t="s"/>
      <c r="T60" s="97" t="s"/>
      <c r="U60" s="97" t="s"/>
      <c r="V60" s="97" t="s"/>
      <c r="W60" s="97" t="s"/>
      <c r="X60" s="97" t="s"/>
      <c r="Y60" s="97" t="s"/>
      <c r="Z60" s="98" t="s"/>
      <c r="AA60" s="98" t="s"/>
      <c r="AB60" s="98" t="s"/>
      <c r="AC60" s="98" t="s"/>
      <c r="AD60" s="98" t="s"/>
      <c r="AE60" s="98" t="s"/>
      <c r="AF60" s="98" t="s"/>
      <c r="AG60" s="98" t="s"/>
      <c r="AH60" s="98" t="s"/>
      <c r="AI60" s="98" t="s"/>
      <c r="AJ60" s="98" t="s"/>
      <c r="AK60" s="97" t="s"/>
      <c r="AL60" s="97" t="s"/>
      <c r="AM60" s="97" t="s"/>
    </row>
    <row r="61" spans="1:36">
      <c r="A61" s="98">
        <v>60</v>
      </c>
      <c r="B61" s="99" t="s">
        <v>792</v>
      </c>
      <c r="C61" s="100">
        <v>46081.7166435185</v>
      </c>
      <c r="D61" s="98">
        <v>12</v>
      </c>
      <c r="E61" s="118">
        <v>46081</v>
      </c>
      <c r="F61" s="98" t="s">
        <v>236</v>
      </c>
      <c r="G61" s="98" t="s">
        <v>793</v>
      </c>
      <c r="H61" s="101" t="s">
        <v>607</v>
      </c>
      <c r="I61" s="98" t="s">
        <v>609</v>
      </c>
      <c r="J61" s="123" t="s">
        <f>=_xlfn.TEXTJOIN("+",TRUE,_xlfn._xlws.FILTER(_xlfn.TEXTSPLIT(H61,,"+"),(_xlfn.TEXTSPLIT(H61,,"+")&lt;&gt;"埃米工具")*(_xlfn.TEXTSPLIT(H61,,"+")&lt;&gt;"埃米广告通")))</f>
        <v>607</v>
      </c>
      <c r="K61" s="109">
        <f>=EDATE(C61,D61)</f>
        <v>46446</v>
      </c>
      <c r="L61" s="109" t="s"/>
      <c r="M61" s="102" t="s"/>
      <c r="N61" s="101" t="s">
        <v>611</v>
      </c>
      <c r="O61" s="110" t="s"/>
      <c r="P61" s="110" t="s">
        <v>794</v>
      </c>
      <c r="Q61" s="111" t="s"/>
      <c r="R61" s="105" t="s"/>
      <c r="S61" s="106" t="s"/>
      <c r="T61" s="98" t="s"/>
      <c r="U61" s="97" t="s"/>
      <c r="V61" s="97" t="s"/>
      <c r="W61" s="97" t="s"/>
      <c r="X61" s="97" t="s"/>
      <c r="Z61" s="100" t="s"/>
      <c r="AA61" s="98" t="s"/>
      <c r="AB61" s="98" t="s"/>
      <c r="AC61" s="98" t="s"/>
      <c r="AD61" s="98" t="s"/>
      <c r="AE61" s="98" t="s"/>
      <c r="AF61" s="98" t="s"/>
      <c r="AG61" s="98" t="s"/>
      <c r="AH61" s="98" t="s"/>
      <c r="AI61" s="98" t="s"/>
      <c r="AJ61" s="98" t="s"/>
    </row>
    <row r="62" spans="1:36">
      <c r="A62" s="98">
        <v>61</v>
      </c>
      <c r="B62" s="99" t="s">
        <v>38</v>
      </c>
      <c r="C62" s="100">
        <v>46081.8639236111</v>
      </c>
      <c r="D62" s="98">
        <v>12</v>
      </c>
      <c r="E62" s="118">
        <v>46083</v>
      </c>
      <c r="F62" s="98" t="s">
        <v>234</v>
      </c>
      <c r="G62" s="98" t="s">
        <v>795</v>
      </c>
      <c r="H62" s="101" t="s">
        <v>606</v>
      </c>
      <c r="I62" s="98" t="s">
        <v>609</v>
      </c>
      <c r="J62" s="123" t="s">
        <f>=_xlfn.TEXTJOIN("+",TRUE,_xlfn._xlws.FILTER(_xlfn.TEXTSPLIT(H62,,"+"),(_xlfn.TEXTSPLIT(H62,,"+")&lt;&gt;"埃米工具")*(_xlfn.TEXTSPLIT(H62,,"+")&lt;&gt;"埃米广告通")))</f>
        <v>15</v>
      </c>
      <c r="K62" s="109">
        <f>=EDATE(C62,D62)</f>
        <v>46446</v>
      </c>
      <c r="L62" s="120">
        <v>46083</v>
      </c>
      <c r="M62" s="102" t="s">
        <v>796</v>
      </c>
      <c r="N62" s="101" t="s">
        <v>611</v>
      </c>
      <c r="O62" s="110" t="s">
        <v>703</v>
      </c>
      <c r="P62" s="110" t="s"/>
      <c r="Q62" s="111" t="s"/>
      <c r="R62" s="105" t="s"/>
      <c r="S62" s="106" t="s"/>
      <c r="T62" s="98" t="s"/>
      <c r="U62" s="97" t="s"/>
      <c r="V62" s="97" t="s"/>
      <c r="W62" s="97" t="s"/>
      <c r="X62" s="97" t="s"/>
      <c r="Z62" s="98" t="s"/>
      <c r="AA62" s="98" t="s"/>
      <c r="AB62" s="98" t="s"/>
      <c r="AC62" s="98" t="s"/>
      <c r="AD62" s="98" t="s"/>
      <c r="AE62" s="98" t="s"/>
      <c r="AF62" s="98" t="s"/>
      <c r="AG62" s="98" t="s"/>
      <c r="AH62" s="98" t="s"/>
      <c r="AI62" s="98" t="s"/>
      <c r="AJ62" s="98" t="s"/>
    </row>
    <row r="63" spans="1:36">
      <c r="A63" s="98">
        <v>62</v>
      </c>
      <c r="B63" s="137" t="s">
        <v>40</v>
      </c>
      <c r="C63" s="109">
        <v>46081.7726388889</v>
      </c>
      <c r="D63" s="97">
        <v>12</v>
      </c>
      <c r="E63" s="120">
        <v>46083</v>
      </c>
      <c r="F63" s="98" t="s">
        <v>215</v>
      </c>
      <c r="G63" s="98" t="s">
        <v>797</v>
      </c>
      <c r="H63" s="101" t="s">
        <v>12</v>
      </c>
      <c r="I63" s="98" t="s">
        <v>609</v>
      </c>
      <c r="J63" s="123" t="s">
        <f>=_xlfn.TEXTJOIN("+",TRUE,_xlfn._xlws.FILTER(_xlfn.TEXTSPLIT(H63,,"+"),(_xlfn.TEXTSPLIT(H63,,"+")&lt;&gt;"埃米工具")*(_xlfn.TEXTSPLIT(H63,,"+")&lt;&gt;"埃米广告通")))</f>
        <v>12</v>
      </c>
      <c r="K63" s="109">
        <f>=EDATE(C63,D63)</f>
        <v>46446</v>
      </c>
      <c r="L63" s="138">
        <v>46087</v>
      </c>
      <c r="M63" s="102" t="s">
        <v>708</v>
      </c>
      <c r="N63" s="101" t="s">
        <v>611</v>
      </c>
      <c r="O63" s="126" t="s">
        <v>798</v>
      </c>
      <c r="P63" s="120" t="s">
        <v>799</v>
      </c>
      <c r="Q63" s="111" t="s"/>
      <c r="R63" s="105" t="s"/>
      <c r="S63" s="106" t="s"/>
      <c r="T63" s="98" t="s"/>
      <c r="U63" s="97" t="s"/>
      <c r="V63" s="97" t="s"/>
      <c r="W63" s="97" t="s"/>
      <c r="X63" s="97" t="s"/>
      <c r="Z63" s="98" t="s"/>
      <c r="AA63" s="98" t="s"/>
      <c r="AB63" s="98" t="s"/>
      <c r="AC63" s="98" t="s"/>
      <c r="AD63" s="98" t="s"/>
      <c r="AE63" s="98" t="s"/>
      <c r="AF63" s="98" t="s"/>
      <c r="AG63" s="98" t="s"/>
      <c r="AH63" s="98" t="s"/>
      <c r="AI63" s="98" t="s"/>
      <c r="AJ63" s="98" t="s"/>
    </row>
    <row r="64" spans="1:36">
      <c r="A64" s="98">
        <v>63</v>
      </c>
      <c r="B64" s="99" t="s">
        <v>42</v>
      </c>
      <c r="C64" s="100">
        <v>46081.7900347222</v>
      </c>
      <c r="D64" s="98">
        <v>12</v>
      </c>
      <c r="E64" s="118">
        <v>46083</v>
      </c>
      <c r="F64" s="98" t="s">
        <v>236</v>
      </c>
      <c r="G64" s="98" t="s">
        <v>800</v>
      </c>
      <c r="H64" s="101" t="s">
        <v>12</v>
      </c>
      <c r="I64" s="98" t="s">
        <v>609</v>
      </c>
      <c r="J64" s="123" t="s">
        <f>=_xlfn.TEXTJOIN("+",TRUE,_xlfn._xlws.FILTER(_xlfn.TEXTSPLIT(H64,,"+"),(_xlfn.TEXTSPLIT(H64,,"+")&lt;&gt;"埃米工具")*(_xlfn.TEXTSPLIT(H64,,"+")&lt;&gt;"埃米广告通")))</f>
        <v>12</v>
      </c>
      <c r="K64" s="109">
        <f>=EDATE(C64,D64)</f>
        <v>46446</v>
      </c>
      <c r="L64" s="109" t="s"/>
      <c r="M64" s="102" t="s"/>
      <c r="N64" s="101" t="s">
        <v>611</v>
      </c>
      <c r="O64" s="110" t="s">
        <v>801</v>
      </c>
      <c r="P64" s="110" t="s"/>
      <c r="Q64" s="111" t="s"/>
      <c r="R64" s="105" t="s"/>
      <c r="S64" s="106" t="s"/>
      <c r="T64" s="98" t="s"/>
      <c r="U64" s="97" t="s"/>
      <c r="V64" s="97" t="s"/>
      <c r="W64" s="97" t="s"/>
      <c r="X64" s="97" t="s"/>
      <c r="Z64" s="98" t="s"/>
      <c r="AA64" s="98" t="s"/>
      <c r="AB64" s="98" t="s"/>
      <c r="AC64" s="98" t="s"/>
      <c r="AD64" s="98" t="s"/>
      <c r="AE64" s="98" t="s"/>
      <c r="AF64" s="98" t="s"/>
      <c r="AG64" s="98" t="s"/>
      <c r="AH64" s="98" t="s"/>
      <c r="AI64" s="98" t="s"/>
      <c r="AJ64" s="98" t="s"/>
    </row>
    <row r="65" spans="1:36">
      <c r="A65" s="98">
        <v>64</v>
      </c>
      <c r="B65" s="99" t="s">
        <v>802</v>
      </c>
      <c r="C65" s="100">
        <v>46081.7222569445</v>
      </c>
      <c r="D65" s="98">
        <v>12</v>
      </c>
      <c r="E65" s="118">
        <v>46083</v>
      </c>
      <c r="F65" s="98" t="s">
        <v>234</v>
      </c>
      <c r="G65" s="98" t="s">
        <v>803</v>
      </c>
      <c r="H65" s="101" t="s">
        <v>607</v>
      </c>
      <c r="I65" s="98" t="s">
        <v>609</v>
      </c>
      <c r="J65" s="123" t="s">
        <f>=_xlfn.TEXTJOIN("+",TRUE,_xlfn._xlws.FILTER(_xlfn.TEXTSPLIT(H65,,"+"),(_xlfn.TEXTSPLIT(H65,,"+")&lt;&gt;"埃米工具")*(_xlfn.TEXTSPLIT(H65,,"+")&lt;&gt;"埃米广告通")))</f>
        <v>607</v>
      </c>
      <c r="K65" s="109">
        <f>=EDATE(C65,D65)</f>
        <v>46446</v>
      </c>
      <c r="L65" s="109" t="s"/>
      <c r="M65" s="102" t="s"/>
      <c r="N65" s="101" t="s">
        <v>611</v>
      </c>
      <c r="O65" s="110" t="s"/>
      <c r="P65" s="110" t="s"/>
      <c r="Q65" s="111" t="s">
        <v>791</v>
      </c>
      <c r="R65" s="105" t="s"/>
      <c r="S65" s="106" t="s"/>
      <c r="T65" s="98" t="s"/>
      <c r="U65" s="98" t="s"/>
      <c r="V65" s="97" t="s"/>
      <c r="W65" s="97" t="s"/>
      <c r="X65" s="97" t="s"/>
      <c r="Z65" s="100" t="s"/>
      <c r="AA65" s="98" t="s"/>
      <c r="AB65" s="98" t="s"/>
      <c r="AC65" s="98" t="s"/>
      <c r="AD65" s="98" t="s"/>
      <c r="AE65" s="98" t="s"/>
      <c r="AF65" s="98" t="s"/>
      <c r="AG65" s="98" t="s"/>
      <c r="AH65" s="98" t="s"/>
      <c r="AI65" s="98" t="s"/>
      <c r="AJ65" s="98" t="s"/>
    </row>
    <row r="66" spans="1:36">
      <c r="A66" s="98">
        <v>65</v>
      </c>
      <c r="B66" s="99" t="s">
        <v>804</v>
      </c>
      <c r="C66" s="100">
        <v>46083.5108449074</v>
      </c>
      <c r="D66" s="98">
        <v>12</v>
      </c>
      <c r="E66" s="118">
        <v>46083</v>
      </c>
      <c r="F66" s="98" t="s">
        <v>224</v>
      </c>
      <c r="G66" s="98" t="s">
        <v>805</v>
      </c>
      <c r="H66" s="101" t="s">
        <v>607</v>
      </c>
      <c r="I66" s="98" t="s">
        <v>609</v>
      </c>
      <c r="J66" s="123" t="s">
        <f>=_xlfn.TEXTJOIN("+",TRUE,_xlfn._xlws.FILTER(_xlfn.TEXTSPLIT(H66,,"+"),(_xlfn.TEXTSPLIT(H66,,"+")&lt;&gt;"埃米工具")*(_xlfn.TEXTSPLIT(H66,,"+")&lt;&gt;"埃米广告通")))</f>
        <v>607</v>
      </c>
      <c r="K66" s="109">
        <f>=EDATE(C66,D66)</f>
        <v>46448</v>
      </c>
      <c r="L66" s="109" t="s"/>
      <c r="M66" s="102" t="s"/>
      <c r="N66" s="101" t="s">
        <v>611</v>
      </c>
      <c r="O66" s="110" t="s">
        <v>697</v>
      </c>
      <c r="P66" s="110" t="s"/>
      <c r="Q66" s="111" t="s"/>
      <c r="R66" s="105" t="s"/>
      <c r="S66" s="106" t="s"/>
      <c r="T66" s="98" t="s"/>
      <c r="U66" s="97" t="s"/>
      <c r="V66" s="97" t="s"/>
      <c r="W66" s="97" t="s"/>
      <c r="X66" s="97" t="s"/>
      <c r="Z66" s="98" t="s"/>
      <c r="AA66" s="98" t="s"/>
      <c r="AB66" s="98" t="s"/>
      <c r="AC66" s="98" t="s"/>
      <c r="AD66" s="98" t="s"/>
      <c r="AE66" s="98" t="s"/>
      <c r="AF66" s="98" t="s"/>
      <c r="AG66" s="98" t="s"/>
      <c r="AH66" s="98" t="s"/>
      <c r="AI66" s="98" t="s"/>
      <c r="AJ66" s="98" t="s"/>
    </row>
    <row r="67" spans="1:36">
      <c r="A67" s="98">
        <v>66</v>
      </c>
      <c r="B67" s="99" t="s">
        <v>806</v>
      </c>
      <c r="C67" s="100">
        <v>46083.5916435185</v>
      </c>
      <c r="D67" s="98">
        <v>12</v>
      </c>
      <c r="E67" s="118">
        <v>46083</v>
      </c>
      <c r="F67" s="98" t="s">
        <v>224</v>
      </c>
      <c r="G67" s="98" t="s">
        <v>807</v>
      </c>
      <c r="H67" s="101" t="s">
        <v>607</v>
      </c>
      <c r="I67" s="98" t="s">
        <v>609</v>
      </c>
      <c r="J67" s="123" t="s">
        <f>=_xlfn.TEXTJOIN("+",TRUE,_xlfn._xlws.FILTER(_xlfn.TEXTSPLIT(H67,,"+"),(_xlfn.TEXTSPLIT(H67,,"+")&lt;&gt;"埃米工具")*(_xlfn.TEXTSPLIT(H67,,"+")&lt;&gt;"埃米广告通")))</f>
        <v>607</v>
      </c>
      <c r="K67" s="109">
        <f>=EDATE(C67,D67)</f>
        <v>46448</v>
      </c>
      <c r="L67" s="109" t="s"/>
      <c r="M67" s="102" t="s"/>
      <c r="N67" s="101" t="s">
        <v>611</v>
      </c>
      <c r="O67" s="110" t="s">
        <v>808</v>
      </c>
      <c r="P67" s="110" t="s"/>
      <c r="Q67" s="111" t="s"/>
      <c r="R67" s="105" t="s"/>
      <c r="S67" s="106" t="s"/>
      <c r="T67" s="98" t="s"/>
      <c r="U67" s="97" t="s"/>
      <c r="V67" s="97" t="s"/>
      <c r="W67" s="97" t="s"/>
      <c r="X67" s="97" t="s"/>
      <c r="Z67" s="98" t="s"/>
      <c r="AA67" s="98" t="s"/>
      <c r="AB67" s="98" t="s"/>
      <c r="AC67" s="98" t="s"/>
      <c r="AD67" s="98" t="s"/>
      <c r="AE67" s="98" t="s"/>
      <c r="AF67" s="98" t="s"/>
      <c r="AG67" s="98" t="s"/>
      <c r="AH67" s="98" t="s"/>
      <c r="AI67" s="98" t="s"/>
      <c r="AJ67" s="98" t="s"/>
    </row>
    <row r="68" spans="1:36">
      <c r="A68" s="98">
        <v>67</v>
      </c>
      <c r="B68" s="99" t="s">
        <v>43</v>
      </c>
      <c r="C68" s="100">
        <v>46083.6446875</v>
      </c>
      <c r="D68" s="98">
        <v>12</v>
      </c>
      <c r="E68" s="118">
        <v>46083</v>
      </c>
      <c r="F68" s="98" t="s">
        <v>234</v>
      </c>
      <c r="G68" s="98" t="s">
        <v>809</v>
      </c>
      <c r="H68" s="101" t="s">
        <v>12</v>
      </c>
      <c r="I68" s="98" t="s">
        <v>609</v>
      </c>
      <c r="J68" s="123" t="s">
        <f>=_xlfn.TEXTJOIN("+",TRUE,_xlfn._xlws.FILTER(_xlfn.TEXTSPLIT(H68,,"+"),(_xlfn.TEXTSPLIT(H68,,"+")&lt;&gt;"埃米工具")*(_xlfn.TEXTSPLIT(H68,,"+")&lt;&gt;"埃米广告通")))</f>
        <v>12</v>
      </c>
      <c r="K68" s="109">
        <f>=EDATE(C68,D68)</f>
        <v>46448</v>
      </c>
      <c r="L68" s="120">
        <v>46086</v>
      </c>
      <c r="M68" s="102" t="s">
        <v>810</v>
      </c>
      <c r="N68" s="101" t="s">
        <v>611</v>
      </c>
      <c r="O68" s="110" t="s">
        <v>811</v>
      </c>
      <c r="P68" s="110" t="s"/>
      <c r="Q68" s="111" t="s"/>
      <c r="R68" s="105" t="s"/>
      <c r="S68" s="106" t="s"/>
      <c r="T68" s="98" t="s"/>
      <c r="U68" s="97" t="s"/>
      <c r="V68" s="97" t="s"/>
      <c r="W68" s="97" t="s"/>
      <c r="X68" s="97" t="s"/>
      <c r="Z68" s="98" t="s"/>
      <c r="AA68" s="98" t="s"/>
      <c r="AB68" s="98" t="s"/>
      <c r="AC68" s="98" t="s"/>
      <c r="AD68" s="98" t="s"/>
      <c r="AE68" s="98" t="s"/>
      <c r="AF68" s="98" t="s"/>
      <c r="AG68" s="98" t="s"/>
      <c r="AH68" s="98" t="s"/>
      <c r="AI68" s="98" t="s"/>
      <c r="AJ68" s="98" t="s"/>
    </row>
    <row r="69" spans="1:36">
      <c r="A69" s="98">
        <v>68</v>
      </c>
      <c r="B69" s="99" t="s">
        <v>45</v>
      </c>
      <c r="C69" s="100">
        <v>46083.6867013889</v>
      </c>
      <c r="D69" s="98">
        <v>12</v>
      </c>
      <c r="E69" s="118">
        <v>46083</v>
      </c>
      <c r="F69" s="98" t="s">
        <v>215</v>
      </c>
      <c r="G69" s="98" t="s">
        <v>812</v>
      </c>
      <c r="H69" s="101" t="s">
        <v>12</v>
      </c>
      <c r="I69" s="98" t="s">
        <v>609</v>
      </c>
      <c r="J69" s="123" t="s">
        <f>=_xlfn.TEXTJOIN("+",TRUE,_xlfn._xlws.FILTER(_xlfn.TEXTSPLIT(H69,,"+"),(_xlfn.TEXTSPLIT(H69,,"+")&lt;&gt;"埃米工具")*(_xlfn.TEXTSPLIT(H69,,"+")&lt;&gt;"埃米广告通")))</f>
        <v>12</v>
      </c>
      <c r="K69" s="109">
        <f>=EDATE(C69,D69)</f>
        <v>46448</v>
      </c>
      <c r="L69" s="120">
        <v>46084</v>
      </c>
      <c r="M69" s="102" t="s">
        <v>813</v>
      </c>
      <c r="N69" s="101" t="s">
        <v>611</v>
      </c>
      <c r="O69" s="110" t="s"/>
      <c r="P69" s="110" t="s"/>
      <c r="Q69" s="111" t="s"/>
      <c r="R69" s="105" t="s"/>
      <c r="S69" s="106" t="s"/>
      <c r="T69" s="98" t="s"/>
      <c r="U69" s="97" t="s"/>
      <c r="V69" s="97" t="s"/>
      <c r="W69" s="97" t="s"/>
      <c r="X69" s="97" t="s"/>
      <c r="Z69" s="100" t="s"/>
      <c r="AA69" s="98" t="s"/>
      <c r="AB69" s="98" t="s"/>
      <c r="AC69" s="98" t="s"/>
      <c r="AD69" s="98" t="s"/>
      <c r="AE69" s="98" t="s"/>
      <c r="AF69" s="98" t="s"/>
      <c r="AG69" s="98" t="s"/>
      <c r="AH69" s="98" t="s"/>
      <c r="AI69" s="98" t="s"/>
      <c r="AJ69" s="98" t="s"/>
    </row>
    <row r="70" spans="1:36">
      <c r="A70" s="98">
        <v>69</v>
      </c>
      <c r="B70" s="99" t="s">
        <v>814</v>
      </c>
      <c r="C70" s="100">
        <v>46083.750625</v>
      </c>
      <c r="D70" s="98">
        <v>12</v>
      </c>
      <c r="E70" s="118">
        <v>46083</v>
      </c>
      <c r="F70" s="98" t="s">
        <v>236</v>
      </c>
      <c r="G70" s="98" t="s">
        <v>815</v>
      </c>
      <c r="H70" s="101" t="s">
        <v>607</v>
      </c>
      <c r="I70" s="98" t="s">
        <v>646</v>
      </c>
      <c r="J70" s="123" t="s">
        <f>=_xlfn.TEXTJOIN("+",TRUE,_xlfn._xlws.FILTER(_xlfn.TEXTSPLIT(H70,,"+"),(_xlfn.TEXTSPLIT(H70,,"+")&lt;&gt;"埃米工具")*(_xlfn.TEXTSPLIT(H70,,"+")&lt;&gt;"埃米广告通")))</f>
        <v>607</v>
      </c>
      <c r="K70" s="109">
        <f>=EDATE(C70,D70)</f>
        <v>46448</v>
      </c>
      <c r="L70" s="109" t="s"/>
      <c r="M70" s="102" t="s"/>
      <c r="N70" s="101" t="s">
        <v>611</v>
      </c>
      <c r="O70" s="139" t="s">
        <v>718</v>
      </c>
      <c r="P70" s="103" t="s">
        <v>816</v>
      </c>
      <c r="Q70" s="111" t="s"/>
      <c r="R70" s="105" t="s"/>
      <c r="S70" s="106" t="s"/>
      <c r="T70" s="98" t="s"/>
      <c r="U70" s="97" t="s"/>
      <c r="V70" s="97" t="s"/>
      <c r="W70" s="97" t="s"/>
      <c r="X70" s="97" t="s"/>
      <c r="Z70" s="98" t="s"/>
      <c r="AA70" s="98" t="s"/>
      <c r="AB70" s="98" t="s"/>
      <c r="AC70" s="98" t="s"/>
      <c r="AD70" s="98" t="s"/>
      <c r="AE70" s="98" t="s"/>
      <c r="AF70" s="98" t="s"/>
      <c r="AG70" s="98" t="s"/>
      <c r="AH70" s="98" t="s"/>
      <c r="AI70" s="98" t="s"/>
      <c r="AJ70" s="98" t="s"/>
    </row>
    <row r="71" spans="1:39" s="427" customFormat="true">
      <c r="A71" s="98">
        <v>70</v>
      </c>
      <c r="B71" s="99" t="s">
        <v>46</v>
      </c>
      <c r="C71" s="100">
        <v>46083.9112962962</v>
      </c>
      <c r="D71" s="98">
        <v>12</v>
      </c>
      <c r="E71" s="118">
        <v>46084</v>
      </c>
      <c r="F71" s="98" t="s">
        <v>234</v>
      </c>
      <c r="G71" s="98" t="s">
        <v>817</v>
      </c>
      <c r="H71" s="101" t="s">
        <v>12</v>
      </c>
      <c r="I71" s="98" t="s">
        <v>609</v>
      </c>
      <c r="J71" s="123" t="s">
        <f>=_xlfn.TEXTJOIN("+",TRUE,_xlfn._xlws.FILTER(_xlfn.TEXTSPLIT(H71,,"+"),(_xlfn.TEXTSPLIT(H71,,"+")&lt;&gt;"埃米工具")*(_xlfn.TEXTSPLIT(H71,,"+")&lt;&gt;"埃米广告通")))</f>
        <v>12</v>
      </c>
      <c r="K71" s="109">
        <f>=EDATE(C71,D71)</f>
        <v>46448</v>
      </c>
      <c r="L71" s="120">
        <v>46111</v>
      </c>
      <c r="M71" s="128" t="s">
        <v>818</v>
      </c>
      <c r="N71" s="101" t="s">
        <v>611</v>
      </c>
      <c r="O71" s="110" t="s">
        <v>723</v>
      </c>
      <c r="P71" s="110" t="s">
        <v>819</v>
      </c>
      <c r="Q71" s="111" t="s"/>
      <c r="R71" s="105" t="s"/>
      <c r="S71" s="106" t="s"/>
      <c r="T71" s="98" t="s"/>
      <c r="U71" s="97" t="s"/>
      <c r="V71" s="97" t="s"/>
      <c r="W71" s="97" t="s"/>
      <c r="X71" s="97" t="s"/>
      <c r="Y71" s="97" t="s"/>
      <c r="Z71" s="98" t="s"/>
      <c r="AA71" s="98" t="s"/>
      <c r="AB71" s="98" t="s"/>
      <c r="AC71" s="98" t="s"/>
      <c r="AD71" s="98" t="s"/>
      <c r="AE71" s="98" t="s"/>
      <c r="AF71" s="98" t="s"/>
      <c r="AG71" s="98" t="s"/>
      <c r="AH71" s="98" t="s"/>
      <c r="AI71" s="98" t="s"/>
      <c r="AJ71" s="98" t="s"/>
      <c r="AK71" s="98" t="s"/>
      <c r="AL71" s="98" t="s"/>
      <c r="AM71" s="98" t="s"/>
    </row>
    <row r="72" spans="1:36">
      <c r="A72" s="98">
        <v>71</v>
      </c>
      <c r="B72" s="99" t="s">
        <v>543</v>
      </c>
      <c r="C72" s="100">
        <v>46084.4233564815</v>
      </c>
      <c r="D72" s="98">
        <v>12</v>
      </c>
      <c r="E72" s="118">
        <v>46084</v>
      </c>
      <c r="F72" s="98" t="s"/>
      <c r="G72" s="98" t="s">
        <v>544</v>
      </c>
      <c r="H72" s="101" t="s">
        <v>607</v>
      </c>
      <c r="I72" s="98" t="s">
        <v>609</v>
      </c>
      <c r="J72" s="123" t="s">
        <f>=_xlfn.TEXTJOIN("+",TRUE,_xlfn._xlws.FILTER(_xlfn.TEXTSPLIT(H72,,"+"),(_xlfn.TEXTSPLIT(H72,,"+")&lt;&gt;"埃米工具")*(_xlfn.TEXTSPLIT(H72,,"+")&lt;&gt;"埃米广告通")))</f>
        <v>607</v>
      </c>
      <c r="K72" s="109">
        <f>=EDATE(C72,D72)</f>
        <v>46449</v>
      </c>
      <c r="L72" s="109" t="s"/>
      <c r="M72" s="102" t="s"/>
      <c r="N72" s="101" t="s">
        <v>611</v>
      </c>
      <c r="O72" s="110" t="s">
        <v>820</v>
      </c>
      <c r="P72" s="110" t="s"/>
      <c r="Q72" s="111" t="s"/>
      <c r="R72" s="105" t="s"/>
      <c r="S72" s="106" t="s"/>
      <c r="T72" s="98" t="s"/>
      <c r="U72" s="97" t="s"/>
      <c r="V72" s="97" t="s"/>
      <c r="W72" s="97" t="s"/>
      <c r="X72" s="97" t="s"/>
      <c r="Z72" s="98" t="s"/>
      <c r="AA72" s="98" t="s"/>
      <c r="AB72" s="98" t="s"/>
      <c r="AC72" s="98" t="s"/>
      <c r="AD72" s="98" t="s"/>
      <c r="AE72" s="98" t="s"/>
      <c r="AF72" s="98" t="s"/>
      <c r="AG72" s="98" t="s"/>
      <c r="AH72" s="98" t="s"/>
      <c r="AI72" s="98" t="s"/>
      <c r="AJ72" s="98" t="s"/>
    </row>
    <row r="73" spans="1:39">
      <c r="A73" s="98">
        <v>72</v>
      </c>
      <c r="B73" s="99" t="s">
        <v>47</v>
      </c>
      <c r="C73" s="100">
        <v>46084.6029861111</v>
      </c>
      <c r="D73" s="98">
        <v>12</v>
      </c>
      <c r="E73" s="118">
        <v>46084</v>
      </c>
      <c r="F73" s="98" t="s">
        <v>236</v>
      </c>
      <c r="G73" s="98" t="s">
        <v>821</v>
      </c>
      <c r="H73" s="101" t="s">
        <v>12</v>
      </c>
      <c r="I73" s="98" t="s">
        <v>609</v>
      </c>
      <c r="J73" s="123" t="s">
        <f>=_xlfn.TEXTJOIN("+",TRUE,_xlfn._xlws.FILTER(_xlfn.TEXTSPLIT(H73,,"+"),(_xlfn.TEXTSPLIT(H73,,"+")&lt;&gt;"埃米工具")*(_xlfn.TEXTSPLIT(H73,,"+")&lt;&gt;"埃米广告通")))</f>
        <v>12</v>
      </c>
      <c r="K73" s="109">
        <f>=EDATE(C73,D73)</f>
        <v>46449</v>
      </c>
      <c r="L73" s="120">
        <v>46086</v>
      </c>
      <c r="M73" s="102" t="s">
        <v>822</v>
      </c>
      <c r="N73" s="101" t="s">
        <v>611</v>
      </c>
      <c r="O73" s="110" t="s">
        <v>823</v>
      </c>
      <c r="P73" s="110" t="s"/>
      <c r="Q73" s="111" t="s"/>
      <c r="R73" s="105" t="s"/>
      <c r="S73" s="106" t="s"/>
      <c r="T73" s="98" t="s"/>
      <c r="U73" s="97" t="s"/>
      <c r="V73" s="98" t="s"/>
      <c r="W73" s="98" t="s"/>
      <c r="X73" s="98" t="s"/>
      <c r="Y73" s="98" t="s"/>
      <c r="Z73" s="98" t="s"/>
      <c r="AA73" s="98" t="s"/>
      <c r="AB73" s="98" t="s"/>
      <c r="AC73" s="98" t="s"/>
      <c r="AD73" s="98" t="s"/>
      <c r="AE73" s="98" t="s"/>
      <c r="AF73" s="98" t="s"/>
      <c r="AG73" s="98" t="s"/>
      <c r="AH73" s="98" t="s"/>
      <c r="AI73" s="98" t="s"/>
      <c r="AJ73" s="98" t="s"/>
      <c r="AK73" s="98" t="s"/>
      <c r="AL73" s="98" t="s"/>
      <c r="AM73" s="98" t="s"/>
    </row>
    <row r="74" spans="1:36">
      <c r="A74" s="98">
        <v>73</v>
      </c>
      <c r="B74" s="99" t="s">
        <v>251</v>
      </c>
      <c r="C74" s="100">
        <v>46084.6305555556</v>
      </c>
      <c r="D74" s="98">
        <v>12</v>
      </c>
      <c r="E74" s="118">
        <v>46084</v>
      </c>
      <c r="F74" s="98" t="s">
        <v>215</v>
      </c>
      <c r="G74" s="98" t="s">
        <v>824</v>
      </c>
      <c r="H74" s="101" t="s">
        <v>607</v>
      </c>
      <c r="I74" s="98" t="s">
        <v>609</v>
      </c>
      <c r="J74" s="98" t="s">
        <f>=_xlfn.TEXTJOIN("+",TRUE,_xlfn._xlws.FILTER(_xlfn.TEXTSPLIT(H74,,"+"),(_xlfn.TEXTSPLIT(H74,,"+")&lt;&gt;"埃米工具")*(_xlfn.TEXTSPLIT(H74,,"+")&lt;&gt;"埃米广告通")))</f>
        <v>607</v>
      </c>
      <c r="K74" s="109">
        <f>=EDATE(C74,D74)</f>
        <v>46449</v>
      </c>
      <c r="L74" s="109" t="s"/>
      <c r="M74" s="102" t="s"/>
      <c r="N74" s="101" t="s">
        <v>611</v>
      </c>
      <c r="O74" s="97" t="s">
        <v>825</v>
      </c>
      <c r="P74" s="97" t="s"/>
      <c r="Q74" s="111" t="s"/>
      <c r="R74" s="105" t="s"/>
      <c r="S74" s="106" t="s"/>
      <c r="T74" s="98" t="s"/>
      <c r="U74" s="97" t="s"/>
      <c r="V74" s="97" t="s"/>
      <c r="W74" s="97" t="s"/>
      <c r="X74" s="97" t="s"/>
      <c r="Z74" s="98" t="s"/>
      <c r="AA74" s="98" t="s"/>
      <c r="AB74" s="98" t="s"/>
      <c r="AC74" s="98" t="s"/>
      <c r="AD74" s="98" t="s"/>
      <c r="AE74" s="98" t="s"/>
      <c r="AF74" s="98" t="s"/>
      <c r="AG74" s="98" t="s"/>
      <c r="AH74" s="98" t="s"/>
      <c r="AI74" s="98" t="s"/>
      <c r="AJ74" s="98" t="s"/>
    </row>
    <row r="75" spans="1:36">
      <c r="A75" s="98">
        <v>74</v>
      </c>
      <c r="B75" s="99" t="s">
        <v>317</v>
      </c>
      <c r="C75" s="100">
        <v>46084.6649189815</v>
      </c>
      <c r="D75" s="98">
        <v>12</v>
      </c>
      <c r="E75" s="118">
        <v>46084</v>
      </c>
      <c r="F75" s="98" t="s">
        <v>215</v>
      </c>
      <c r="G75" s="98" t="s">
        <v>826</v>
      </c>
      <c r="H75" s="101" t="s">
        <v>607</v>
      </c>
      <c r="I75" s="98" t="s">
        <v>609</v>
      </c>
      <c r="J75" s="98" t="s">
        <f>=_xlfn.TEXTJOIN("+",TRUE,_xlfn._xlws.FILTER(_xlfn.TEXTSPLIT(H75,,"+"),(_xlfn.TEXTSPLIT(H75,,"+")&lt;&gt;"埃米工具")*(_xlfn.TEXTSPLIT(H75,,"+")&lt;&gt;"埃米广告通")))</f>
        <v>607</v>
      </c>
      <c r="K75" s="109">
        <f>=EDATE(C75,D75)</f>
        <v>46449</v>
      </c>
      <c r="L75" s="109" t="s"/>
      <c r="M75" s="102" t="s"/>
      <c r="N75" s="101" t="s">
        <v>611</v>
      </c>
      <c r="O75" s="110" t="s">
        <v>294</v>
      </c>
      <c r="P75" s="97" t="s"/>
      <c r="Q75" s="111" t="s">
        <v>791</v>
      </c>
      <c r="R75" s="105" t="s"/>
      <c r="S75" s="106" t="s"/>
      <c r="T75" s="98" t="s"/>
      <c r="U75" s="97" t="s"/>
      <c r="V75" s="97" t="s"/>
      <c r="W75" s="97" t="s"/>
      <c r="X75" s="97" t="s"/>
      <c r="Z75" s="98" t="s"/>
      <c r="AA75" s="98" t="s"/>
      <c r="AB75" s="98" t="s"/>
      <c r="AC75" s="98" t="s"/>
      <c r="AD75" s="98" t="s"/>
      <c r="AE75" s="98" t="s"/>
      <c r="AF75" s="98" t="s"/>
      <c r="AG75" s="98" t="s"/>
      <c r="AH75" s="98" t="s"/>
      <c r="AI75" s="98" t="s"/>
      <c r="AJ75" s="98" t="s"/>
    </row>
    <row r="76" spans="1:36">
      <c r="A76" s="98">
        <v>75</v>
      </c>
      <c r="B76" s="99" t="s">
        <v>827</v>
      </c>
      <c r="C76" s="100">
        <v>46084.6658796296</v>
      </c>
      <c r="D76" s="98">
        <v>12</v>
      </c>
      <c r="E76" s="118">
        <v>46084</v>
      </c>
      <c r="F76" s="98" t="s">
        <v>236</v>
      </c>
      <c r="G76" s="98" t="s">
        <v>828</v>
      </c>
      <c r="H76" s="101" t="s">
        <v>607</v>
      </c>
      <c r="I76" s="98" t="s">
        <v>609</v>
      </c>
      <c r="J76" s="98" t="s">
        <f>=_xlfn.TEXTJOIN("+",TRUE,_xlfn._xlws.FILTER(_xlfn.TEXTSPLIT(H76,,"+"),(_xlfn.TEXTSPLIT(H76,,"+")&lt;&gt;"埃米工具")*(_xlfn.TEXTSPLIT(H76,,"+")&lt;&gt;"埃米广告通")))</f>
        <v>607</v>
      </c>
      <c r="K76" s="109">
        <f>=EDATE(C76,D76)</f>
        <v>46449</v>
      </c>
      <c r="L76" s="109" t="s"/>
      <c r="M76" s="102" t="s"/>
      <c r="N76" s="101" t="s">
        <v>611</v>
      </c>
      <c r="O76" s="97" t="s">
        <v>829</v>
      </c>
      <c r="P76" s="97" t="s"/>
      <c r="Q76" s="111" t="s"/>
      <c r="R76" s="105" t="s"/>
      <c r="S76" s="106" t="s"/>
      <c r="T76" s="98" t="s"/>
      <c r="U76" s="97" t="s"/>
      <c r="V76" s="97" t="s"/>
      <c r="W76" s="97" t="s"/>
      <c r="X76" s="97" t="s"/>
      <c r="Z76" s="98" t="s"/>
      <c r="AA76" s="98" t="s"/>
      <c r="AB76" s="98" t="s"/>
      <c r="AC76" s="98" t="s"/>
      <c r="AD76" s="98" t="s"/>
      <c r="AE76" s="98" t="s"/>
      <c r="AF76" s="98" t="s"/>
      <c r="AG76" s="98" t="s"/>
      <c r="AH76" s="98" t="s"/>
      <c r="AI76" s="98" t="s"/>
      <c r="AJ76" s="98" t="s"/>
    </row>
    <row r="77" spans="1:39">
      <c r="A77" s="98">
        <v>76</v>
      </c>
      <c r="B77" s="99" t="s">
        <v>830</v>
      </c>
      <c r="C77" s="100">
        <v>46084.7070138889</v>
      </c>
      <c r="D77" s="98">
        <v>12</v>
      </c>
      <c r="E77" s="118">
        <v>46084</v>
      </c>
      <c r="F77" s="98" t="s">
        <v>234</v>
      </c>
      <c r="G77" s="98" t="s">
        <v>831</v>
      </c>
      <c r="H77" s="101" t="s">
        <v>607</v>
      </c>
      <c r="I77" s="98" t="s">
        <v>609</v>
      </c>
      <c r="J77" s="98" t="s">
        <f>=_xlfn.TEXTJOIN("+",TRUE,_xlfn._xlws.FILTER(_xlfn.TEXTSPLIT(H77,,"+"),(_xlfn.TEXTSPLIT(H77,,"+")&lt;&gt;"埃米工具")*(_xlfn.TEXTSPLIT(H77,,"+")&lt;&gt;"埃米广告通")))</f>
        <v>607</v>
      </c>
      <c r="K77" s="100">
        <f>=EDATE(C77,D77)</f>
        <v>46449</v>
      </c>
      <c r="L77" s="100" t="s"/>
      <c r="M77" s="102" t="s"/>
      <c r="N77" s="101" t="s">
        <v>611</v>
      </c>
      <c r="O77" s="97" t="s">
        <v>825</v>
      </c>
      <c r="P77" s="98" t="s"/>
      <c r="Q77" s="111" t="s"/>
      <c r="R77" s="105" t="s"/>
      <c r="S77" s="106" t="s"/>
      <c r="T77" s="98" t="s"/>
      <c r="U77" s="98" t="s"/>
      <c r="V77" s="98" t="s"/>
      <c r="W77" s="98" t="s"/>
      <c r="X77" s="98" t="s"/>
      <c r="Y77" s="98" t="s"/>
      <c r="Z77" s="98" t="s"/>
      <c r="AA77" s="98" t="s"/>
      <c r="AB77" s="98" t="s"/>
      <c r="AC77" s="98" t="s"/>
      <c r="AD77" s="98" t="s"/>
      <c r="AE77" s="98" t="s"/>
      <c r="AF77" s="98" t="s"/>
      <c r="AG77" s="98" t="s"/>
      <c r="AH77" s="98" t="s"/>
      <c r="AI77" s="98" t="s"/>
      <c r="AJ77" s="98" t="s"/>
      <c r="AK77" s="98" t="s"/>
      <c r="AL77" s="98" t="s"/>
      <c r="AM77" s="98" t="s"/>
    </row>
    <row r="78" spans="1:24">
      <c r="A78" s="98">
        <v>77</v>
      </c>
      <c r="B78" s="99" t="s">
        <v>832</v>
      </c>
      <c r="C78" s="100">
        <v>46084.6959259259</v>
      </c>
      <c r="D78" s="98">
        <v>12</v>
      </c>
      <c r="E78" s="118">
        <v>46084</v>
      </c>
      <c r="F78" s="112" t="s">
        <v>215</v>
      </c>
      <c r="G78" s="98" t="s">
        <v>833</v>
      </c>
      <c r="H78" s="101" t="s">
        <v>607</v>
      </c>
      <c r="I78" s="98" t="s">
        <v>609</v>
      </c>
      <c r="J78" s="98" t="s">
        <f>=_xlfn.TEXTJOIN("+",TRUE,_xlfn._xlws.FILTER(_xlfn.TEXTSPLIT(H78,,"+"),(_xlfn.TEXTSPLIT(H78,,"+")&lt;&gt;"埃米工具")*(_xlfn.TEXTSPLIT(H78,,"+")&lt;&gt;"埃米广告通")))</f>
        <v>607</v>
      </c>
      <c r="K78" s="100">
        <f>=EDATE(C78,D78)</f>
        <v>46449</v>
      </c>
      <c r="L78" s="100" t="s"/>
      <c r="M78" s="102" t="s"/>
      <c r="N78" s="101" t="s">
        <v>611</v>
      </c>
      <c r="O78" s="110" t="s">
        <v>834</v>
      </c>
      <c r="P78" s="110" t="s"/>
      <c r="Q78" s="140" t="s"/>
      <c r="R78" s="141" t="s"/>
      <c r="S78" s="141" t="s"/>
      <c r="T78" s="133" t="s"/>
      <c r="U78" s="133" t="s"/>
      <c r="V78" s="133" t="s"/>
      <c r="W78" s="133" t="s"/>
      <c r="X78" s="133" t="s"/>
    </row>
    <row r="79" spans="1:36">
      <c r="A79" s="98">
        <v>78</v>
      </c>
      <c r="B79" s="99" t="s">
        <v>835</v>
      </c>
      <c r="C79" s="100">
        <v>46084.7065625</v>
      </c>
      <c r="D79" s="98">
        <v>12</v>
      </c>
      <c r="E79" s="118">
        <v>46084</v>
      </c>
      <c r="F79" s="98" t="s">
        <v>236</v>
      </c>
      <c r="G79" s="98" t="s">
        <v>836</v>
      </c>
      <c r="H79" s="101" t="s">
        <v>607</v>
      </c>
      <c r="I79" s="98" t="s">
        <v>609</v>
      </c>
      <c r="J79" s="98" t="s">
        <f>=_xlfn.TEXTJOIN("+",TRUE,_xlfn._xlws.FILTER(_xlfn.TEXTSPLIT(H79,,"+"),(_xlfn.TEXTSPLIT(H79,,"+")&lt;&gt;"埃米工具")*(_xlfn.TEXTSPLIT(H79,,"+")&lt;&gt;"埃米广告通")))</f>
        <v>607</v>
      </c>
      <c r="K79" s="109">
        <f>=EDATE(C79,D79)</f>
        <v>46449</v>
      </c>
      <c r="L79" s="109" t="s"/>
      <c r="M79" s="102" t="s"/>
      <c r="N79" s="101" t="s">
        <v>611</v>
      </c>
      <c r="O79" s="97" t="s">
        <v>837</v>
      </c>
      <c r="P79" s="97" t="s"/>
      <c r="Q79" s="111" t="s"/>
      <c r="R79" s="105" t="s"/>
      <c r="S79" s="106" t="s"/>
      <c r="T79" s="98" t="s"/>
      <c r="U79" s="97" t="s"/>
      <c r="V79" s="97" t="s"/>
      <c r="W79" s="97" t="s"/>
      <c r="X79" s="97" t="s"/>
      <c r="Z79" s="98" t="s"/>
      <c r="AA79" s="98" t="s"/>
      <c r="AB79" s="98" t="s"/>
      <c r="AC79" s="98" t="s"/>
      <c r="AD79" s="98" t="s"/>
      <c r="AE79" s="98" t="s"/>
      <c r="AF79" s="98" t="s"/>
      <c r="AG79" s="98" t="s"/>
      <c r="AH79" s="98" t="s"/>
      <c r="AI79" s="98" t="s"/>
      <c r="AJ79" s="98" t="s"/>
    </row>
    <row r="80" spans="1:36">
      <c r="A80" s="98">
        <v>79</v>
      </c>
      <c r="B80" s="99" t="s">
        <v>838</v>
      </c>
      <c r="C80" s="100">
        <v>46084.699375</v>
      </c>
      <c r="D80" s="98">
        <v>12</v>
      </c>
      <c r="E80" s="118">
        <v>46084</v>
      </c>
      <c r="F80" s="98" t="s">
        <v>234</v>
      </c>
      <c r="G80" s="98" t="s">
        <v>839</v>
      </c>
      <c r="H80" s="101" t="s">
        <v>607</v>
      </c>
      <c r="I80" s="98" t="s">
        <v>609</v>
      </c>
      <c r="J80" s="98" t="s">
        <f>=_xlfn.TEXTJOIN("+",TRUE,_xlfn._xlws.FILTER(_xlfn.TEXTSPLIT(H80,,"+"),(_xlfn.TEXTSPLIT(H80,,"+")&lt;&gt;"埃米工具")*(_xlfn.TEXTSPLIT(H80,,"+")&lt;&gt;"埃米广告通")))</f>
        <v>607</v>
      </c>
      <c r="K80" s="109">
        <f>=EDATE(C80,D80)</f>
        <v>46449</v>
      </c>
      <c r="L80" s="109" t="s"/>
      <c r="M80" s="102" t="s"/>
      <c r="N80" s="101" t="s">
        <v>611</v>
      </c>
      <c r="O80" s="97" t="s">
        <v>837</v>
      </c>
      <c r="P80" s="97" t="s"/>
      <c r="Q80" s="111" t="s"/>
      <c r="R80" s="105" t="s"/>
      <c r="S80" s="106" t="s"/>
      <c r="T80" s="98" t="s"/>
      <c r="U80" s="97" t="s"/>
      <c r="V80" s="97" t="s"/>
      <c r="W80" s="97" t="s"/>
      <c r="X80" s="97" t="s"/>
      <c r="Z80" s="98" t="s"/>
      <c r="AA80" s="98" t="s"/>
      <c r="AB80" s="98" t="s"/>
      <c r="AC80" s="98" t="s"/>
      <c r="AD80" s="98" t="s"/>
      <c r="AE80" s="98" t="s"/>
      <c r="AF80" s="98" t="s"/>
      <c r="AG80" s="98" t="s"/>
      <c r="AH80" s="98" t="s"/>
      <c r="AI80" s="98" t="s"/>
      <c r="AJ80" s="98" t="s"/>
    </row>
    <row r="81" spans="1:36">
      <c r="A81" s="98">
        <v>80</v>
      </c>
      <c r="B81" s="99" t="s">
        <v>49</v>
      </c>
      <c r="C81" s="100">
        <v>46084.7367592593</v>
      </c>
      <c r="D81" s="98">
        <v>12</v>
      </c>
      <c r="E81" s="118">
        <v>46085</v>
      </c>
      <c r="F81" s="98" t="s">
        <v>215</v>
      </c>
      <c r="G81" s="98" t="s">
        <v>840</v>
      </c>
      <c r="H81" s="101" t="s">
        <v>606</v>
      </c>
      <c r="I81" s="98" t="s">
        <v>609</v>
      </c>
      <c r="J81" s="98" t="s">
        <f>=_xlfn.TEXTJOIN("+",TRUE,_xlfn._xlws.FILTER(_xlfn.TEXTSPLIT(H81,,"+"),(_xlfn.TEXTSPLIT(H81,,"+")&lt;&gt;"埃米工具")*(_xlfn.TEXTSPLIT(H81,,"+")&lt;&gt;"埃米广告通")))</f>
        <v>15</v>
      </c>
      <c r="K81" s="109">
        <f>=EDATE(C81,D81)</f>
        <v>46449</v>
      </c>
      <c r="L81" s="120">
        <v>46095</v>
      </c>
      <c r="M81" s="102" t="s">
        <v>610</v>
      </c>
      <c r="N81" s="101" t="s">
        <v>611</v>
      </c>
      <c r="O81" s="126" t="s">
        <v>648</v>
      </c>
      <c r="P81" s="97" t="s"/>
      <c r="Q81" s="111" t="s"/>
      <c r="R81" s="105" t="s"/>
      <c r="S81" s="106" t="s"/>
      <c r="T81" s="98" t="s"/>
      <c r="U81" s="97" t="s"/>
      <c r="V81" s="97" t="s"/>
      <c r="W81" s="97" t="s"/>
      <c r="X81" s="97" t="s"/>
      <c r="Z81" s="98" t="s"/>
      <c r="AA81" s="98" t="s"/>
      <c r="AB81" s="98" t="s"/>
      <c r="AC81" s="98" t="s"/>
      <c r="AD81" s="98" t="s"/>
      <c r="AE81" s="98" t="s"/>
      <c r="AF81" s="98" t="s"/>
      <c r="AG81" s="98" t="s"/>
      <c r="AH81" s="98" t="s"/>
      <c r="AI81" s="98" t="s"/>
      <c r="AJ81" s="98" t="s"/>
    </row>
    <row r="82" spans="1:36">
      <c r="A82" s="98">
        <v>81</v>
      </c>
      <c r="B82" s="99" t="s">
        <v>51</v>
      </c>
      <c r="C82" s="132">
        <v>46090.7472106482</v>
      </c>
      <c r="D82" s="98">
        <v>12</v>
      </c>
      <c r="E82" s="118">
        <v>46085</v>
      </c>
      <c r="F82" s="98" t="s">
        <v>234</v>
      </c>
      <c r="G82" s="98" t="s">
        <v>533</v>
      </c>
      <c r="H82" s="101" t="s">
        <v>12</v>
      </c>
      <c r="I82" s="98" t="s">
        <v>646</v>
      </c>
      <c r="J82" s="98" t="s">
        <f>=_xlfn.TEXTJOIN("+",TRUE,_xlfn._xlws.FILTER(_xlfn.TEXTSPLIT(H82,,"+"),(_xlfn.TEXTSPLIT(H82,,"+")&lt;&gt;"埃米工具")*(_xlfn.TEXTSPLIT(H82,,"+")&lt;&gt;"埃米广告通")))</f>
        <v>12</v>
      </c>
      <c r="K82" s="109">
        <f>=EDATE(C82,D82)</f>
        <v>46455</v>
      </c>
      <c r="L82" s="120">
        <v>46097</v>
      </c>
      <c r="M82" s="102" t="s">
        <v>841</v>
      </c>
      <c r="N82" s="101" t="s">
        <v>611</v>
      </c>
      <c r="O82" s="97" t="s">
        <v>670</v>
      </c>
      <c r="P82" s="97" t="s"/>
      <c r="Q82" s="111" t="s"/>
      <c r="R82" s="105" t="s"/>
      <c r="S82" s="106" t="s"/>
      <c r="T82" s="98" t="s"/>
      <c r="U82" s="97" t="s"/>
      <c r="V82" s="97" t="s"/>
      <c r="W82" s="97" t="s"/>
      <c r="X82" s="97" t="s"/>
      <c r="Z82" s="98" t="s"/>
      <c r="AA82" s="98" t="s"/>
      <c r="AB82" s="98" t="s"/>
      <c r="AC82" s="98" t="s"/>
      <c r="AD82" s="98" t="s"/>
      <c r="AE82" s="98" t="s"/>
      <c r="AF82" s="98" t="s"/>
      <c r="AG82" s="98" t="s"/>
      <c r="AH82" s="98" t="s"/>
      <c r="AI82" s="98" t="s"/>
      <c r="AJ82" s="98" t="s"/>
    </row>
    <row r="83" spans="1:36">
      <c r="A83" s="98">
        <v>82</v>
      </c>
      <c r="B83" s="99" t="s">
        <v>52</v>
      </c>
      <c r="C83" s="100">
        <v>46084.7906712962</v>
      </c>
      <c r="D83" s="98">
        <v>12</v>
      </c>
      <c r="E83" s="118">
        <v>46085</v>
      </c>
      <c r="F83" s="98" t="s">
        <v>236</v>
      </c>
      <c r="G83" s="98" t="s">
        <v>842</v>
      </c>
      <c r="H83" s="101" t="s">
        <v>12</v>
      </c>
      <c r="I83" s="98" t="s">
        <v>609</v>
      </c>
      <c r="J83" s="98" t="s">
        <f>=_xlfn.TEXTJOIN("+",TRUE,_xlfn._xlws.FILTER(_xlfn.TEXTSPLIT(H83,,"+"),(_xlfn.TEXTSPLIT(H83,,"+")&lt;&gt;"埃米工具")*(_xlfn.TEXTSPLIT(H83,,"+")&lt;&gt;"埃米广告通")))</f>
        <v>12</v>
      </c>
      <c r="K83" s="109">
        <f>=EDATE(C83,D83)</f>
        <v>46449</v>
      </c>
      <c r="L83" s="120">
        <v>46091</v>
      </c>
      <c r="M83" s="102" t="s">
        <v>633</v>
      </c>
      <c r="N83" s="101" t="s">
        <v>611</v>
      </c>
      <c r="O83" s="110" t="s">
        <v>843</v>
      </c>
      <c r="P83" s="110" t="s">
        <v>844</v>
      </c>
      <c r="Q83" s="104" t="s">
        <v>845</v>
      </c>
      <c r="R83" s="142" t="s"/>
      <c r="S83" s="98" t="s"/>
      <c r="T83" s="98" t="s"/>
      <c r="U83" s="97" t="s"/>
      <c r="V83" s="97" t="s"/>
      <c r="W83" s="97" t="s"/>
      <c r="X83" s="97" t="s"/>
      <c r="Z83" s="98" t="s"/>
      <c r="AA83" s="98" t="s"/>
      <c r="AB83" s="98" t="s"/>
      <c r="AC83" s="98" t="s"/>
      <c r="AD83" s="98" t="s"/>
      <c r="AE83" s="98" t="s"/>
      <c r="AF83" s="98" t="s"/>
      <c r="AG83" s="98" t="s"/>
      <c r="AH83" s="98" t="s"/>
      <c r="AI83" s="98" t="s"/>
      <c r="AJ83" s="98" t="s"/>
    </row>
    <row r="84" spans="1:36" ht="129" customHeight="true">
      <c r="A84" s="98">
        <v>83</v>
      </c>
      <c r="B84" s="99" t="s">
        <v>53</v>
      </c>
      <c r="C84" s="100">
        <v>46084.5053009259</v>
      </c>
      <c r="D84" s="98">
        <v>12</v>
      </c>
      <c r="E84" s="118">
        <v>46085</v>
      </c>
      <c r="F84" s="98" t="s">
        <v>236</v>
      </c>
      <c r="G84" s="98" t="s">
        <v>846</v>
      </c>
      <c r="H84" s="101" t="s">
        <v>606</v>
      </c>
      <c r="I84" s="98" t="s">
        <v>609</v>
      </c>
      <c r="J84" s="98" t="s">
        <f>=_xlfn.TEXTJOIN("+",TRUE,_xlfn._xlws.FILTER(_xlfn.TEXTSPLIT(H84,,"+"),(_xlfn.TEXTSPLIT(H84,,"+")&lt;&gt;"埃米工具")*(_xlfn.TEXTSPLIT(H84,,"+")&lt;&gt;"埃米广告通")))</f>
        <v>15</v>
      </c>
      <c r="K84" s="109">
        <f>=EDATE(C84,D84)</f>
        <v>46449</v>
      </c>
      <c r="L84" s="120">
        <v>46085</v>
      </c>
      <c r="M84" s="102" t="s">
        <v>847</v>
      </c>
      <c r="N84" s="101" t="s">
        <v>611</v>
      </c>
      <c r="O84" s="97" t="s">
        <v>848</v>
      </c>
      <c r="P84" s="110" t="s">
        <v>849</v>
      </c>
      <c r="Q84" s="111" t="s"/>
      <c r="R84" s="105" t="s"/>
      <c r="S84" s="106" t="s"/>
      <c r="T84" s="98" t="s"/>
      <c r="U84" s="97" t="s"/>
      <c r="V84" s="97" t="s"/>
      <c r="W84" s="97" t="s"/>
      <c r="X84" s="97" t="s"/>
      <c r="Z84" s="98" t="s"/>
      <c r="AA84" s="98" t="s"/>
      <c r="AB84" s="98" t="s"/>
      <c r="AC84" s="98" t="s"/>
      <c r="AD84" s="98" t="s"/>
      <c r="AE84" s="98" t="s"/>
      <c r="AF84" s="98" t="s"/>
      <c r="AG84" s="98" t="s"/>
      <c r="AH84" s="98" t="s"/>
      <c r="AI84" s="98" t="s"/>
      <c r="AJ84" s="98" t="s"/>
    </row>
    <row r="85" spans="1:36">
      <c r="A85" s="98">
        <v>84</v>
      </c>
      <c r="B85" s="99" t="s">
        <v>850</v>
      </c>
      <c r="C85" s="100">
        <v>46084.7064814815</v>
      </c>
      <c r="D85" s="98">
        <v>12</v>
      </c>
      <c r="E85" s="118">
        <v>46085</v>
      </c>
      <c r="F85" s="112" t="s">
        <v>215</v>
      </c>
      <c r="G85" s="98" t="s">
        <v>851</v>
      </c>
      <c r="H85" s="101" t="s">
        <v>607</v>
      </c>
      <c r="I85" s="98" t="s">
        <v>609</v>
      </c>
      <c r="J85" s="98" t="s">
        <f>=_xlfn.TEXTJOIN("+",TRUE,_xlfn._xlws.FILTER(_xlfn.TEXTSPLIT(H85,,"+"),(_xlfn.TEXTSPLIT(H85,,"+")&lt;&gt;"埃米工具")*(_xlfn.TEXTSPLIT(H85,,"+")&lt;&gt;"埃米广告通")))</f>
        <v>607</v>
      </c>
      <c r="K85" s="109">
        <f>=EDATE(C85,D85)</f>
        <v>46449</v>
      </c>
      <c r="L85" s="109" t="s"/>
      <c r="M85" s="102" t="s"/>
      <c r="N85" s="101" t="s">
        <v>611</v>
      </c>
      <c r="O85" s="97" t="s">
        <v>848</v>
      </c>
      <c r="P85" s="97" t="s"/>
      <c r="Q85" s="111" t="s"/>
      <c r="R85" s="105" t="s"/>
      <c r="S85" s="106" t="s"/>
      <c r="T85" s="98" t="s"/>
      <c r="U85" s="97" t="s"/>
      <c r="V85" s="97" t="s"/>
      <c r="W85" s="97" t="s"/>
      <c r="X85" s="97" t="s"/>
      <c r="Z85" s="98" t="s"/>
      <c r="AA85" s="98" t="s"/>
      <c r="AB85" s="98" t="s"/>
      <c r="AC85" s="98" t="s"/>
      <c r="AD85" s="98" t="s"/>
      <c r="AE85" s="98" t="s"/>
      <c r="AF85" s="98" t="s"/>
      <c r="AG85" s="98" t="s"/>
      <c r="AH85" s="98" t="s"/>
      <c r="AI85" s="98" t="s"/>
      <c r="AJ85" s="98" t="s"/>
    </row>
    <row r="86" spans="1:36">
      <c r="A86" s="98">
        <v>85</v>
      </c>
      <c r="B86" s="99" t="s">
        <v>852</v>
      </c>
      <c r="C86" s="100">
        <v>46084.7299652778</v>
      </c>
      <c r="D86" s="98">
        <v>12</v>
      </c>
      <c r="E86" s="118">
        <v>46085</v>
      </c>
      <c r="F86" s="112" t="s">
        <v>234</v>
      </c>
      <c r="G86" s="98" t="s">
        <v>853</v>
      </c>
      <c r="H86" s="101" t="s">
        <v>607</v>
      </c>
      <c r="I86" s="98" t="s">
        <v>646</v>
      </c>
      <c r="J86" s="98" t="s">
        <f>=_xlfn.TEXTJOIN("+",TRUE,_xlfn._xlws.FILTER(_xlfn.TEXTSPLIT(H86,,"+"),(_xlfn.TEXTSPLIT(H86,,"+")&lt;&gt;"埃米工具")*(_xlfn.TEXTSPLIT(H86,,"+")&lt;&gt;"埃米广告通")))</f>
        <v>607</v>
      </c>
      <c r="K86" s="109">
        <f>=EDATE(C86,D86)</f>
        <v>46449</v>
      </c>
      <c r="L86" s="109" t="s"/>
      <c r="M86" s="102" t="s"/>
      <c r="N86" s="101" t="s">
        <v>611</v>
      </c>
      <c r="O86" s="97" t="s">
        <v>854</v>
      </c>
      <c r="P86" s="97" t="s"/>
      <c r="Q86" s="111" t="s"/>
      <c r="R86" s="105" t="s"/>
      <c r="S86" s="106" t="s"/>
      <c r="T86" s="98" t="s"/>
      <c r="U86" s="97" t="s"/>
      <c r="V86" s="97" t="s"/>
      <c r="W86" s="97" t="s"/>
      <c r="X86" s="97" t="s"/>
      <c r="Z86" s="98" t="s"/>
      <c r="AA86" s="98" t="s"/>
      <c r="AB86" s="98" t="s"/>
      <c r="AC86" s="98" t="s"/>
      <c r="AD86" s="98" t="s"/>
      <c r="AE86" s="98" t="s"/>
      <c r="AF86" s="98" t="s"/>
      <c r="AG86" s="98" t="s"/>
      <c r="AH86" s="98" t="s"/>
      <c r="AI86" s="98" t="s"/>
      <c r="AJ86" s="98" t="s"/>
    </row>
    <row r="87" spans="1:36" ht="63" customHeight="true">
      <c r="A87" s="98">
        <v>86</v>
      </c>
      <c r="B87" s="99" t="s">
        <v>855</v>
      </c>
      <c r="C87" s="100">
        <v>46084.4944212962</v>
      </c>
      <c r="D87" s="98">
        <v>12</v>
      </c>
      <c r="E87" s="118">
        <v>46085</v>
      </c>
      <c r="F87" s="98" t="s">
        <v>236</v>
      </c>
      <c r="G87" s="98" t="s">
        <v>856</v>
      </c>
      <c r="H87" s="101" t="s">
        <v>607</v>
      </c>
      <c r="I87" s="98" t="s">
        <v>609</v>
      </c>
      <c r="J87" s="98" t="s">
        <f>=_xlfn.TEXTJOIN("+",TRUE,_xlfn._xlws.FILTER(_xlfn.TEXTSPLIT(H87,,"+"),(_xlfn.TEXTSPLIT(H87,,"+")&lt;&gt;"埃米工具")*(_xlfn.TEXTSPLIT(H87,,"+")&lt;&gt;"埃米广告通")))</f>
        <v>607</v>
      </c>
      <c r="K87" s="109">
        <f>=EDATE(C87,D87)</f>
        <v>46449</v>
      </c>
      <c r="L87" s="109" t="s"/>
      <c r="M87" s="102" t="s"/>
      <c r="N87" s="98" t="s"/>
      <c r="O87" s="97" t="s"/>
      <c r="P87" s="110" t="s">
        <v>857</v>
      </c>
      <c r="Q87" s="111" t="s">
        <v>791</v>
      </c>
      <c r="R87" s="105" t="s"/>
      <c r="S87" s="106" t="s"/>
      <c r="T87" s="98" t="s"/>
      <c r="U87" s="97" t="s"/>
      <c r="V87" s="97" t="s"/>
      <c r="W87" s="97" t="s"/>
      <c r="X87" s="97" t="s"/>
      <c r="Z87" s="100" t="s"/>
      <c r="AA87" s="98" t="s"/>
      <c r="AB87" s="98" t="s"/>
      <c r="AC87" s="98" t="s"/>
      <c r="AD87" s="98" t="s"/>
      <c r="AE87" s="98" t="s"/>
      <c r="AF87" s="98" t="s"/>
      <c r="AG87" s="98" t="s"/>
      <c r="AH87" s="98" t="s"/>
      <c r="AI87" s="98" t="s"/>
      <c r="AJ87" s="98" t="s"/>
    </row>
    <row r="88" spans="1:36" ht="32.25" customHeight="true">
      <c r="A88" s="98">
        <v>87</v>
      </c>
      <c r="B88" s="99" t="s">
        <v>55</v>
      </c>
      <c r="C88" s="100">
        <v>46085.6741550926</v>
      </c>
      <c r="D88" s="98">
        <v>24</v>
      </c>
      <c r="E88" s="118">
        <v>46085</v>
      </c>
      <c r="F88" s="98" t="s">
        <v>215</v>
      </c>
      <c r="G88" s="98" t="s">
        <v>858</v>
      </c>
      <c r="H88" s="101" t="s">
        <v>606</v>
      </c>
      <c r="I88" s="98" t="s">
        <v>609</v>
      </c>
      <c r="J88" s="98" t="s">
        <f>=_xlfn.TEXTJOIN("+",TRUE,_xlfn._xlws.FILTER(_xlfn.TEXTSPLIT(H88,,"+"),(_xlfn.TEXTSPLIT(H88,,"+")&lt;&gt;"埃米工具")*(_xlfn.TEXTSPLIT(H88,,"+")&lt;&gt;"埃米广告通")))</f>
        <v>15</v>
      </c>
      <c r="K88" s="109">
        <f>=EDATE(C88,D88)</f>
        <v>46816</v>
      </c>
      <c r="L88" s="120">
        <v>46086</v>
      </c>
      <c r="M88" s="102" t="s">
        <v>610</v>
      </c>
      <c r="N88" s="101" t="s">
        <v>611</v>
      </c>
      <c r="O88" s="110" t="s"/>
      <c r="P88" s="110" t="s">
        <v>859</v>
      </c>
      <c r="Q88" s="111" t="s"/>
      <c r="R88" s="105" t="s"/>
      <c r="S88" s="106" t="s"/>
      <c r="T88" s="98" t="s"/>
      <c r="U88" s="97" t="s"/>
      <c r="V88" s="97" t="s"/>
      <c r="W88" s="97" t="s"/>
      <c r="X88" s="97" t="s"/>
      <c r="Z88" s="100" t="s"/>
      <c r="AA88" s="98" t="s"/>
      <c r="AB88" s="98" t="s"/>
      <c r="AC88" s="98" t="s"/>
      <c r="AD88" s="98" t="s"/>
      <c r="AE88" s="98" t="s"/>
      <c r="AF88" s="98" t="s"/>
      <c r="AG88" s="98" t="s"/>
      <c r="AH88" s="98" t="s"/>
      <c r="AI88" s="98" t="s"/>
      <c r="AJ88" s="98" t="s"/>
    </row>
    <row r="89" spans="1:36">
      <c r="A89" s="98">
        <v>88</v>
      </c>
      <c r="B89" s="99" t="s">
        <v>860</v>
      </c>
      <c r="C89" s="100">
        <v>46085.6979166667</v>
      </c>
      <c r="D89" s="98">
        <v>12</v>
      </c>
      <c r="E89" s="118">
        <v>46085</v>
      </c>
      <c r="F89" s="98" t="s">
        <v>234</v>
      </c>
      <c r="G89" s="98" t="s">
        <v>861</v>
      </c>
      <c r="H89" s="101" t="s">
        <v>607</v>
      </c>
      <c r="I89" s="98" t="s">
        <v>609</v>
      </c>
      <c r="J89" s="98" t="s">
        <f>=_xlfn.TEXTJOIN("+",TRUE,_xlfn._xlws.FILTER(_xlfn.TEXTSPLIT(H89,,"+"),(_xlfn.TEXTSPLIT(H89,,"+")&lt;&gt;"埃米工具")*(_xlfn.TEXTSPLIT(H89,,"+")&lt;&gt;"埃米广告通")))</f>
        <v>607</v>
      </c>
      <c r="K89" s="109">
        <f>=EDATE(C89,D89)</f>
        <v>46450</v>
      </c>
      <c r="L89" s="109" t="s"/>
      <c r="M89" s="102" t="s"/>
      <c r="N89" s="101" t="s">
        <v>611</v>
      </c>
      <c r="O89" s="97" t="s">
        <v>862</v>
      </c>
      <c r="P89" s="113" t="s">
        <v>863</v>
      </c>
      <c r="Q89" s="111" t="s"/>
      <c r="R89" s="105" t="s"/>
      <c r="S89" s="106" t="s"/>
      <c r="T89" s="98" t="s"/>
      <c r="U89" s="97" t="s"/>
      <c r="V89" s="97" t="s"/>
      <c r="W89" s="97" t="s"/>
      <c r="X89" s="97" t="s"/>
      <c r="Z89" s="98" t="s"/>
      <c r="AA89" s="98" t="s"/>
      <c r="AB89" s="98" t="s"/>
      <c r="AC89" s="98" t="s"/>
      <c r="AD89" s="98" t="s"/>
      <c r="AE89" s="98" t="s"/>
      <c r="AF89" s="98" t="s"/>
      <c r="AG89" s="98" t="s"/>
      <c r="AH89" s="98" t="s"/>
      <c r="AI89" s="98" t="s"/>
      <c r="AJ89" s="98" t="s"/>
    </row>
    <row r="90" spans="1:36">
      <c r="A90" s="98">
        <v>89</v>
      </c>
      <c r="B90" s="99" t="s">
        <v>864</v>
      </c>
      <c r="C90" s="100">
        <v>46085.6871875</v>
      </c>
      <c r="D90" s="98">
        <v>12</v>
      </c>
      <c r="E90" s="118">
        <v>46085</v>
      </c>
      <c r="F90" s="98" t="s">
        <v>236</v>
      </c>
      <c r="G90" s="143" t="s">
        <v>865</v>
      </c>
      <c r="H90" s="101" t="s">
        <v>607</v>
      </c>
      <c r="I90" s="98" t="s">
        <v>609</v>
      </c>
      <c r="J90" s="98" t="s">
        <f>=_xlfn.TEXTJOIN("+",TRUE,_xlfn._xlws.FILTER(_xlfn.TEXTSPLIT(H90,,"+"),(_xlfn.TEXTSPLIT(H90,,"+")&lt;&gt;"埃米工具")*(_xlfn.TEXTSPLIT(H90,,"+")&lt;&gt;"埃米广告通")))</f>
        <v>607</v>
      </c>
      <c r="K90" s="109">
        <f>=EDATE(C90,D90)</f>
        <v>46450</v>
      </c>
      <c r="L90" s="109" t="s"/>
      <c r="M90" s="102" t="s"/>
      <c r="N90" s="101" t="s">
        <v>611</v>
      </c>
      <c r="O90" s="97" t="s">
        <v>866</v>
      </c>
      <c r="P90" s="97" t="s"/>
      <c r="Q90" s="111" t="s"/>
      <c r="R90" s="105" t="s"/>
      <c r="S90" s="106" t="s"/>
      <c r="T90" s="98" t="s"/>
      <c r="U90" s="97" t="s"/>
      <c r="V90" s="144" t="s"/>
      <c r="W90" s="144" t="s"/>
      <c r="X90" s="144" t="s"/>
      <c r="Z90" s="143" t="s"/>
      <c r="AA90" s="143" t="s"/>
      <c r="AB90" s="143" t="s"/>
      <c r="AC90" s="143" t="s"/>
      <c r="AD90" s="143" t="s"/>
      <c r="AE90" s="143" t="s"/>
      <c r="AF90" s="98" t="s"/>
      <c r="AG90" s="98" t="s"/>
      <c r="AH90" s="98" t="s"/>
      <c r="AI90" s="98" t="s"/>
      <c r="AJ90" s="98" t="s"/>
    </row>
    <row r="91" spans="1:36">
      <c r="A91" s="98">
        <v>90</v>
      </c>
      <c r="B91" s="99" t="s">
        <v>867</v>
      </c>
      <c r="C91" s="100">
        <v>46085.685462963</v>
      </c>
      <c r="D91" s="98">
        <v>12</v>
      </c>
      <c r="E91" s="118">
        <v>46085</v>
      </c>
      <c r="F91" s="98" t="s">
        <v>234</v>
      </c>
      <c r="G91" s="98" t="s">
        <v>868</v>
      </c>
      <c r="H91" s="101" t="s">
        <v>607</v>
      </c>
      <c r="I91" s="98" t="s">
        <v>609</v>
      </c>
      <c r="J91" s="98" t="s">
        <f>=_xlfn.TEXTJOIN("+",TRUE,_xlfn._xlws.FILTER(_xlfn.TEXTSPLIT(H91,,"+"),(_xlfn.TEXTSPLIT(H91,,"+")&lt;&gt;"埃米工具")*(_xlfn.TEXTSPLIT(H91,,"+")&lt;&gt;"埃米广告通")))</f>
        <v>607</v>
      </c>
      <c r="K91" s="100">
        <f>=EDATE(C91,D91)</f>
        <v>46450</v>
      </c>
      <c r="L91" s="100" t="s"/>
      <c r="M91" s="102" t="s"/>
      <c r="N91" s="101" t="s">
        <v>611</v>
      </c>
      <c r="O91" s="98" t="s">
        <v>670</v>
      </c>
      <c r="P91" s="98" t="s"/>
      <c r="Q91" s="111" t="s"/>
      <c r="R91" s="105" t="s"/>
      <c r="S91" s="106" t="s"/>
      <c r="T91" s="98" t="s"/>
      <c r="U91" s="98" t="s"/>
      <c r="V91" s="144" t="s"/>
      <c r="W91" s="144" t="s"/>
      <c r="X91" s="144" t="s"/>
      <c r="Z91" s="143" t="s"/>
      <c r="AA91" s="143" t="s"/>
      <c r="AB91" s="143" t="s"/>
      <c r="AC91" s="143" t="s"/>
      <c r="AD91" s="143" t="s"/>
      <c r="AE91" s="143" t="s"/>
      <c r="AF91" s="98" t="s"/>
      <c r="AG91" s="98" t="s"/>
      <c r="AH91" s="98" t="s"/>
      <c r="AI91" s="98" t="s"/>
      <c r="AJ91" s="98" t="s"/>
    </row>
    <row r="92" spans="1:36">
      <c r="A92" s="98">
        <v>91</v>
      </c>
      <c r="B92" s="99" t="s">
        <v>869</v>
      </c>
      <c r="C92" s="100">
        <v>46085.7481944444</v>
      </c>
      <c r="D92" s="98">
        <v>12</v>
      </c>
      <c r="E92" s="118">
        <v>46085</v>
      </c>
      <c r="F92" s="98" t="s">
        <v>224</v>
      </c>
      <c r="G92" s="98" t="s">
        <v>870</v>
      </c>
      <c r="H92" s="101" t="s">
        <v>607</v>
      </c>
      <c r="I92" s="98" t="s">
        <v>609</v>
      </c>
      <c r="J92" s="98" t="s">
        <f>=_xlfn.TEXTJOIN("+",TRUE,_xlfn._xlws.FILTER(_xlfn.TEXTSPLIT(H92,,"+"),(_xlfn.TEXTSPLIT(H92,,"+")&lt;&gt;"埃米工具")*(_xlfn.TEXTSPLIT(H92,,"+")&lt;&gt;"埃米广告通")))</f>
        <v>607</v>
      </c>
      <c r="K92" s="109">
        <f>=EDATE(C92,D92)</f>
        <v>46450</v>
      </c>
      <c r="L92" s="109" t="s"/>
      <c r="M92" s="102" t="s"/>
      <c r="N92" s="101" t="s">
        <v>611</v>
      </c>
      <c r="O92" s="97" t="s"/>
      <c r="P92" s="103" t="s">
        <v>871</v>
      </c>
      <c r="Q92" s="111" t="s"/>
      <c r="R92" s="105" t="s"/>
      <c r="S92" s="106" t="s"/>
      <c r="T92" s="98" t="s"/>
      <c r="U92" s="97" t="s"/>
      <c r="V92" s="97" t="s"/>
      <c r="W92" s="97" t="s"/>
      <c r="X92" s="97" t="s"/>
      <c r="Z92" s="100" t="s"/>
      <c r="AA92" s="98" t="s"/>
      <c r="AB92" s="98" t="s"/>
      <c r="AC92" s="98" t="s"/>
      <c r="AD92" s="98" t="s"/>
      <c r="AE92" s="98" t="s"/>
      <c r="AF92" s="98" t="s"/>
      <c r="AG92" s="98" t="s"/>
      <c r="AH92" s="98" t="s"/>
      <c r="AI92" s="98" t="s"/>
      <c r="AJ92" s="98" t="s"/>
    </row>
    <row r="93" spans="1:36">
      <c r="A93" s="98">
        <v>92</v>
      </c>
      <c r="B93" s="99" t="s">
        <v>872</v>
      </c>
      <c r="C93" s="100">
        <v>46085.7500115741</v>
      </c>
      <c r="D93" s="98">
        <v>12</v>
      </c>
      <c r="E93" s="118">
        <v>46086</v>
      </c>
      <c r="F93" s="98" t="s">
        <v>224</v>
      </c>
      <c r="G93" s="98" t="s">
        <v>873</v>
      </c>
      <c r="H93" s="101" t="s">
        <v>607</v>
      </c>
      <c r="I93" s="98" t="s">
        <v>646</v>
      </c>
      <c r="J93" s="98" t="s">
        <f>=_xlfn.TEXTJOIN("+",TRUE,_xlfn._xlws.FILTER(_xlfn.TEXTSPLIT(H93,,"+"),(_xlfn.TEXTSPLIT(H93,,"+")&lt;&gt;"埃米工具")*(_xlfn.TEXTSPLIT(H93,,"+")&lt;&gt;"埃米广告通")))</f>
        <v>607</v>
      </c>
      <c r="K93" s="109">
        <f>=EDATE(C93,D93)</f>
        <v>46450</v>
      </c>
      <c r="L93" s="109" t="s"/>
      <c r="M93" s="102" t="s"/>
      <c r="N93" s="101" t="s">
        <v>611</v>
      </c>
      <c r="O93" s="145" t="s">
        <v>874</v>
      </c>
      <c r="P93" s="110" t="s"/>
      <c r="Q93" s="111" t="s"/>
      <c r="R93" s="105" t="s"/>
      <c r="S93" s="106" t="s"/>
      <c r="T93" s="98" t="s"/>
      <c r="U93" s="97" t="s"/>
      <c r="V93" s="97" t="s"/>
      <c r="W93" s="97" t="s"/>
      <c r="X93" s="97" t="s"/>
      <c r="Z93" s="98" t="s"/>
      <c r="AA93" s="98" t="s"/>
      <c r="AB93" s="98" t="s"/>
      <c r="AC93" s="98" t="s"/>
      <c r="AD93" s="98" t="s"/>
      <c r="AE93" s="98" t="s"/>
      <c r="AF93" s="98" t="s"/>
      <c r="AG93" s="98" t="s"/>
      <c r="AH93" s="98" t="s"/>
      <c r="AI93" s="98" t="s"/>
      <c r="AJ93" s="98" t="s"/>
    </row>
    <row r="94" spans="1:36">
      <c r="A94" s="98">
        <v>93</v>
      </c>
      <c r="B94" s="137" t="s">
        <v>289</v>
      </c>
      <c r="C94" s="146">
        <v>46086.4757523148</v>
      </c>
      <c r="D94" s="147">
        <v>12</v>
      </c>
      <c r="E94" s="118">
        <v>46086</v>
      </c>
      <c r="F94" s="98" t="s">
        <v>215</v>
      </c>
      <c r="G94" s="98" t="s">
        <v>875</v>
      </c>
      <c r="H94" s="101" t="s">
        <v>607</v>
      </c>
      <c r="I94" s="98" t="s">
        <v>726</v>
      </c>
      <c r="J94" s="98" t="s">
        <f>=_xlfn.TEXTJOIN("+",TRUE,_xlfn._xlws.FILTER(_xlfn.TEXTSPLIT(H94,,"+"),(_xlfn.TEXTSPLIT(H94,,"+")&lt;&gt;"埃米工具")*(_xlfn.TEXTSPLIT(H94,,"+")&lt;&gt;"埃米广告通")))</f>
        <v>607</v>
      </c>
      <c r="K94" s="109">
        <f>=EDATE(C94,D94)</f>
        <v>46451</v>
      </c>
      <c r="L94" s="109" t="s"/>
      <c r="M94" s="102" t="s"/>
      <c r="N94" s="101" t="s">
        <v>611</v>
      </c>
      <c r="O94" s="134" t="s">
        <v>876</v>
      </c>
      <c r="P94" s="97" t="s"/>
      <c r="Q94" s="111" t="s"/>
      <c r="R94" s="105" t="s"/>
      <c r="S94" s="106" t="s"/>
      <c r="T94" s="98" t="s"/>
      <c r="U94" s="97" t="s"/>
      <c r="V94" s="97" t="s"/>
      <c r="W94" s="97" t="s"/>
      <c r="X94" s="97" t="s"/>
      <c r="Z94" s="98" t="s"/>
      <c r="AA94" s="98" t="s"/>
      <c r="AB94" s="98" t="s"/>
      <c r="AC94" s="98" t="s"/>
      <c r="AD94" s="98" t="s"/>
      <c r="AE94" s="98" t="s"/>
      <c r="AF94" s="98" t="s"/>
      <c r="AG94" s="98" t="s"/>
      <c r="AH94" s="98" t="s"/>
      <c r="AI94" s="98" t="s"/>
      <c r="AJ94" s="98" t="s"/>
    </row>
    <row r="95" spans="1:36">
      <c r="A95" s="98">
        <v>94</v>
      </c>
      <c r="B95" s="99" t="s">
        <v>877</v>
      </c>
      <c r="C95" s="132">
        <v>46086.6375115741</v>
      </c>
      <c r="D95" s="148">
        <v>12</v>
      </c>
      <c r="E95" s="118">
        <v>46086</v>
      </c>
      <c r="F95" s="98" t="s">
        <v>224</v>
      </c>
      <c r="G95" s="98" t="s">
        <v>878</v>
      </c>
      <c r="H95" s="101" t="s">
        <v>607</v>
      </c>
      <c r="I95" s="98" t="s">
        <v>609</v>
      </c>
      <c r="J95" s="98" t="s">
        <f>=_xlfn.TEXTJOIN("+",TRUE,_xlfn._xlws.FILTER(_xlfn.TEXTSPLIT(H95,,"+"),(_xlfn.TEXTSPLIT(H95,,"+")&lt;&gt;"埃米工具")*(_xlfn.TEXTSPLIT(H95,,"+")&lt;&gt;"埃米广告通")))</f>
        <v>607</v>
      </c>
      <c r="K95" s="109">
        <f>=EDATE(C95,D95)</f>
        <v>46451</v>
      </c>
      <c r="L95" s="109" t="s"/>
      <c r="M95" s="102" t="s"/>
      <c r="N95" s="101" t="s">
        <v>611</v>
      </c>
      <c r="O95" s="97" t="s">
        <v>879</v>
      </c>
      <c r="P95" s="97" t="s"/>
      <c r="Q95" s="111" t="s"/>
      <c r="R95" s="105" t="s"/>
      <c r="S95" s="106" t="s"/>
      <c r="T95" s="98" t="s"/>
      <c r="U95" s="97" t="s"/>
      <c r="V95" s="97" t="s"/>
      <c r="W95" s="97" t="s"/>
      <c r="X95" s="97" t="s"/>
      <c r="Z95" s="98" t="s"/>
      <c r="AA95" s="98" t="s"/>
      <c r="AB95" s="98" t="s"/>
      <c r="AC95" s="98" t="s"/>
      <c r="AD95" s="98" t="s"/>
      <c r="AE95" s="98" t="s"/>
      <c r="AF95" s="98" t="s"/>
      <c r="AG95" s="98" t="s"/>
      <c r="AH95" s="98" t="s"/>
      <c r="AI95" s="98" t="s"/>
      <c r="AJ95" s="98" t="s"/>
    </row>
    <row r="96" spans="1:36">
      <c r="A96" s="98">
        <v>95</v>
      </c>
      <c r="B96" s="99" t="s">
        <v>880</v>
      </c>
      <c r="C96" s="132">
        <v>46086.6538078704</v>
      </c>
      <c r="D96" s="148">
        <v>12</v>
      </c>
      <c r="E96" s="118">
        <v>46086</v>
      </c>
      <c r="F96" s="98" t="s">
        <v>236</v>
      </c>
      <c r="G96" s="98" t="s">
        <v>881</v>
      </c>
      <c r="H96" s="101" t="s">
        <v>607</v>
      </c>
      <c r="I96" s="98" t="s">
        <v>609</v>
      </c>
      <c r="J96" s="98" t="s">
        <f>=_xlfn.TEXTJOIN("+",TRUE,_xlfn._xlws.FILTER(_xlfn.TEXTSPLIT(H96,,"+"),(_xlfn.TEXTSPLIT(H96,,"+")&lt;&gt;"埃米工具")*(_xlfn.TEXTSPLIT(H96,,"+")&lt;&gt;"埃米广告通")))</f>
        <v>607</v>
      </c>
      <c r="K96" s="109">
        <f>=EDATE(C96,D96)</f>
        <v>46451</v>
      </c>
      <c r="L96" s="109" t="s"/>
      <c r="M96" s="102" t="s"/>
      <c r="N96" s="101" t="s">
        <v>611</v>
      </c>
      <c r="O96" s="97" t="s">
        <v>882</v>
      </c>
      <c r="P96" s="97" t="s"/>
      <c r="Q96" s="111" t="s"/>
      <c r="R96" s="105" t="s"/>
      <c r="S96" s="106" t="s"/>
      <c r="T96" s="98" t="s"/>
      <c r="U96" s="97" t="s"/>
      <c r="V96" s="97" t="s"/>
      <c r="W96" s="97" t="s"/>
      <c r="X96" s="97" t="s"/>
      <c r="Z96" s="98" t="s"/>
      <c r="AA96" s="98" t="s"/>
      <c r="AB96" s="98" t="s"/>
      <c r="AC96" s="98" t="s"/>
      <c r="AD96" s="98" t="s"/>
      <c r="AE96" s="98" t="s"/>
      <c r="AF96" s="98" t="s"/>
      <c r="AG96" s="98" t="s"/>
      <c r="AH96" s="98" t="s"/>
      <c r="AI96" s="98" t="s"/>
      <c r="AJ96" s="98" t="s"/>
    </row>
    <row r="97" spans="1:36">
      <c r="A97" s="98">
        <v>96</v>
      </c>
      <c r="B97" s="99" t="s">
        <v>57</v>
      </c>
      <c r="C97" s="132">
        <v>46086.6542708333</v>
      </c>
      <c r="D97" s="148">
        <v>12</v>
      </c>
      <c r="E97" s="118">
        <v>46086</v>
      </c>
      <c r="F97" s="107" t="s">
        <v>234</v>
      </c>
      <c r="G97" s="98" t="s">
        <v>883</v>
      </c>
      <c r="H97" s="101" t="s">
        <v>12</v>
      </c>
      <c r="I97" s="98" t="s">
        <v>609</v>
      </c>
      <c r="J97" s="98" t="s">
        <f>=_xlfn.TEXTJOIN("+",TRUE,_xlfn._xlws.FILTER(_xlfn.TEXTSPLIT(H97,,"+"),(_xlfn.TEXTSPLIT(H97,,"+")&lt;&gt;"埃米工具")*(_xlfn.TEXTSPLIT(H97,,"+")&lt;&gt;"埃米广告通")))</f>
        <v>12</v>
      </c>
      <c r="K97" s="109">
        <f>=EDATE(C97,D97)</f>
        <v>46451</v>
      </c>
      <c r="L97" s="120">
        <v>46087</v>
      </c>
      <c r="M97" s="102" t="s">
        <v>884</v>
      </c>
      <c r="N97" s="101" t="s">
        <v>611</v>
      </c>
      <c r="O97" s="97" t="s">
        <v>740</v>
      </c>
      <c r="P97" s="97" t="s"/>
      <c r="Q97" s="111" t="s"/>
      <c r="R97" s="105" t="s"/>
      <c r="S97" s="106" t="s"/>
      <c r="T97" s="98" t="s"/>
      <c r="U97" s="97" t="s"/>
      <c r="V97" s="97" t="s"/>
      <c r="W97" s="97" t="s"/>
      <c r="X97" s="97" t="s"/>
      <c r="Z97" s="98" t="s"/>
      <c r="AA97" s="98" t="s"/>
      <c r="AB97" s="98" t="s"/>
      <c r="AC97" s="98" t="s"/>
      <c r="AD97" s="98" t="s"/>
      <c r="AE97" s="98" t="s"/>
      <c r="AF97" s="98" t="s"/>
      <c r="AG97" s="98" t="s"/>
      <c r="AH97" s="98" t="s"/>
      <c r="AI97" s="98" t="s"/>
      <c r="AJ97" s="98" t="s"/>
    </row>
    <row r="98" spans="1:36">
      <c r="A98" s="98">
        <v>97</v>
      </c>
      <c r="B98" s="99" t="s">
        <v>885</v>
      </c>
      <c r="C98" s="132">
        <v>46086.6771296296</v>
      </c>
      <c r="D98" s="148">
        <v>12</v>
      </c>
      <c r="E98" s="118">
        <v>46086</v>
      </c>
      <c r="F98" s="98" t="s">
        <v>215</v>
      </c>
      <c r="G98" s="98" t="s">
        <v>886</v>
      </c>
      <c r="H98" s="101" t="s">
        <v>607</v>
      </c>
      <c r="I98" s="98" t="s">
        <v>609</v>
      </c>
      <c r="J98" s="98" t="s">
        <f>=_xlfn.TEXTJOIN("+",TRUE,_xlfn._xlws.FILTER(_xlfn.TEXTSPLIT(H98,,"+"),(_xlfn.TEXTSPLIT(H98,,"+")&lt;&gt;"埃米工具")*(_xlfn.TEXTSPLIT(H98,,"+")&lt;&gt;"埃米广告通")))</f>
        <v>607</v>
      </c>
      <c r="K98" s="109">
        <f>=EDATE(C98,D98)</f>
        <v>46451</v>
      </c>
      <c r="L98" s="109" t="s"/>
      <c r="M98" s="102" t="s"/>
      <c r="N98" s="101" t="s">
        <v>611</v>
      </c>
      <c r="O98" s="126" t="s">
        <v>887</v>
      </c>
      <c r="P98" s="97" t="s"/>
      <c r="Q98" s="111" t="s"/>
      <c r="R98" s="105" t="s"/>
      <c r="S98" s="106" t="s"/>
      <c r="T98" s="98" t="s"/>
      <c r="U98" s="97" t="s"/>
      <c r="V98" s="97" t="s"/>
      <c r="W98" s="97" t="s"/>
      <c r="X98" s="97" t="s"/>
      <c r="Z98" s="98" t="s"/>
      <c r="AA98" s="98" t="s"/>
      <c r="AB98" s="98" t="s"/>
      <c r="AC98" s="98" t="s"/>
      <c r="AD98" s="98" t="s"/>
      <c r="AE98" s="98" t="s"/>
      <c r="AF98" s="98" t="s"/>
      <c r="AG98" s="98" t="s"/>
      <c r="AH98" s="98" t="s"/>
      <c r="AI98" s="98" t="s"/>
      <c r="AJ98" s="98" t="s"/>
    </row>
    <row r="99" spans="1:36">
      <c r="A99" s="98">
        <v>98</v>
      </c>
      <c r="B99" s="99" t="s">
        <v>888</v>
      </c>
      <c r="C99" s="132">
        <v>46086.7091203704</v>
      </c>
      <c r="D99" s="148">
        <v>12</v>
      </c>
      <c r="E99" s="118">
        <v>46086</v>
      </c>
      <c r="F99" s="98" t="s">
        <v>224</v>
      </c>
      <c r="G99" s="98" t="s">
        <v>889</v>
      </c>
      <c r="H99" s="101" t="s">
        <v>607</v>
      </c>
      <c r="I99" s="98" t="s">
        <v>609</v>
      </c>
      <c r="J99" s="98" t="s">
        <f>=_xlfn.TEXTJOIN("+",TRUE,_xlfn._xlws.FILTER(_xlfn.TEXTSPLIT(H99,,"+"),(_xlfn.TEXTSPLIT(H99,,"+")&lt;&gt;"埃米工具")*(_xlfn.TEXTSPLIT(H99,,"+")&lt;&gt;"埃米广告通")))</f>
        <v>607</v>
      </c>
      <c r="K99" s="109">
        <f>=EDATE(C99,D99)</f>
        <v>46451</v>
      </c>
      <c r="L99" s="109" t="s"/>
      <c r="M99" s="102" t="s"/>
      <c r="N99" s="101" t="s">
        <v>611</v>
      </c>
      <c r="O99" s="97" t="s">
        <v>879</v>
      </c>
      <c r="P99" s="97" t="s"/>
      <c r="Q99" s="111" t="s"/>
      <c r="R99" s="105" t="s"/>
      <c r="S99" s="106" t="s"/>
      <c r="T99" s="98" t="s"/>
      <c r="U99" s="97" t="s"/>
      <c r="V99" s="97" t="s"/>
      <c r="W99" s="97" t="s"/>
      <c r="X99" s="97" t="s"/>
      <c r="Z99" s="98" t="s"/>
      <c r="AA99" s="98" t="s"/>
      <c r="AB99" s="98" t="s"/>
      <c r="AC99" s="98" t="s"/>
      <c r="AD99" s="98" t="s"/>
      <c r="AE99" s="98" t="s"/>
      <c r="AF99" s="98" t="s"/>
      <c r="AG99" s="98" t="s"/>
      <c r="AH99" s="98" t="s"/>
      <c r="AI99" s="98" t="s"/>
      <c r="AJ99" s="98" t="s"/>
    </row>
    <row r="100" spans="1:36">
      <c r="A100" s="98">
        <v>99</v>
      </c>
      <c r="B100" s="99" t="s">
        <v>890</v>
      </c>
      <c r="C100" s="132">
        <v>46086.7465162037</v>
      </c>
      <c r="D100" s="148">
        <v>12</v>
      </c>
      <c r="E100" s="118">
        <v>46087</v>
      </c>
      <c r="F100" s="98" t="s">
        <v>234</v>
      </c>
      <c r="G100" s="98" t="s">
        <v>891</v>
      </c>
      <c r="H100" s="101" t="s">
        <v>607</v>
      </c>
      <c r="I100" s="98" t="s">
        <v>609</v>
      </c>
      <c r="J100" s="98" t="s">
        <f>=_xlfn.TEXTJOIN("+",TRUE,_xlfn._xlws.FILTER(_xlfn.TEXTSPLIT(H100,,"+"),(_xlfn.TEXTSPLIT(H100,,"+")&lt;&gt;"埃米工具")*(_xlfn.TEXTSPLIT(H100,,"+")&lt;&gt;"埃米广告通")))</f>
        <v>607</v>
      </c>
      <c r="K100" s="109">
        <f>=EDATE(C100,D100)</f>
        <v>46451</v>
      </c>
      <c r="L100" s="100" t="s"/>
      <c r="M100" s="102" t="s"/>
      <c r="N100" s="101" t="s">
        <v>611</v>
      </c>
      <c r="O100" s="97" t="s">
        <v>892</v>
      </c>
      <c r="P100" s="97" t="s"/>
      <c r="Q100" s="111" t="s"/>
      <c r="R100" s="105" t="s"/>
      <c r="S100" s="106" t="s"/>
      <c r="T100" s="98" t="s"/>
      <c r="U100" s="97" t="s"/>
      <c r="V100" s="97" t="s"/>
      <c r="W100" s="97" t="s"/>
      <c r="X100" s="97" t="s"/>
      <c r="Z100" s="98" t="s"/>
      <c r="AA100" s="98" t="s"/>
      <c r="AB100" s="98" t="s"/>
      <c r="AC100" s="98" t="s"/>
      <c r="AD100" s="98" t="s"/>
      <c r="AE100" s="98" t="s"/>
      <c r="AF100" s="98" t="s"/>
      <c r="AG100" s="98" t="s"/>
      <c r="AH100" s="98" t="s"/>
      <c r="AI100" s="98" t="s"/>
      <c r="AJ100" s="98" t="s"/>
    </row>
    <row r="101" spans="1:36">
      <c r="A101" s="98">
        <v>100</v>
      </c>
      <c r="B101" s="99" t="s">
        <v>58</v>
      </c>
      <c r="C101" s="132">
        <v>46086.7455439815</v>
      </c>
      <c r="D101" s="148">
        <v>12</v>
      </c>
      <c r="E101" s="118">
        <v>46087</v>
      </c>
      <c r="F101" s="98" t="s">
        <v>234</v>
      </c>
      <c r="G101" s="98" t="s">
        <v>893</v>
      </c>
      <c r="H101" s="101" t="s">
        <v>12</v>
      </c>
      <c r="I101" s="98" t="s">
        <v>609</v>
      </c>
      <c r="J101" s="98" t="s">
        <f>=_xlfn.TEXTJOIN("+",TRUE,_xlfn._xlws.FILTER(_xlfn.TEXTSPLIT(H101,,"+"),(_xlfn.TEXTSPLIT(H101,,"+")&lt;&gt;"埃米工具")*(_xlfn.TEXTSPLIT(H101,,"+")&lt;&gt;"埃米广告通")))</f>
        <v>12</v>
      </c>
      <c r="K101" s="100">
        <f>=EDATE(C101,D101)</f>
        <v>46451</v>
      </c>
      <c r="L101" s="118">
        <v>46087</v>
      </c>
      <c r="M101" s="102" t="s">
        <v>894</v>
      </c>
      <c r="N101" s="101" t="s">
        <v>611</v>
      </c>
      <c r="O101" s="110" t="s">
        <v>895</v>
      </c>
      <c r="P101" s="110" t="s"/>
      <c r="Q101" s="111" t="s"/>
      <c r="R101" s="105" t="s"/>
      <c r="S101" s="106" t="s"/>
      <c r="T101" s="98" t="s"/>
      <c r="U101" s="97" t="s"/>
      <c r="V101" s="98" t="s"/>
      <c r="W101" s="98" t="s"/>
      <c r="X101" s="98" t="s"/>
      <c r="Z101" s="98" t="s"/>
      <c r="AA101" s="98" t="s"/>
      <c r="AB101" s="98" t="s"/>
      <c r="AC101" s="98" t="s"/>
      <c r="AD101" s="98" t="s"/>
      <c r="AE101" s="98" t="s"/>
      <c r="AF101" s="98" t="s"/>
      <c r="AG101" s="98" t="s"/>
      <c r="AH101" s="98" t="s"/>
      <c r="AI101" s="98" t="s"/>
      <c r="AJ101" s="98" t="s"/>
    </row>
    <row r="102" spans="1:36">
      <c r="A102" s="98">
        <v>101</v>
      </c>
      <c r="B102" s="149" t="s">
        <v>59</v>
      </c>
      <c r="C102" s="132">
        <v>46086.7495023148</v>
      </c>
      <c r="D102" s="148">
        <v>12</v>
      </c>
      <c r="E102" s="118">
        <v>46087</v>
      </c>
      <c r="F102" s="98" t="s">
        <v>215</v>
      </c>
      <c r="G102" s="98" t="s">
        <v>896</v>
      </c>
      <c r="H102" s="101" t="s">
        <v>12</v>
      </c>
      <c r="I102" s="98" t="s">
        <v>609</v>
      </c>
      <c r="J102" s="98" t="s">
        <f>=_xlfn.TEXTJOIN("+",TRUE,_xlfn._xlws.FILTER(_xlfn.TEXTSPLIT(H102,,"+"),(_xlfn.TEXTSPLIT(H102,,"+")&lt;&gt;"埃米工具")*(_xlfn.TEXTSPLIT(H102,,"+")&lt;&gt;"埃米广告通")))</f>
        <v>12</v>
      </c>
      <c r="K102" s="100">
        <f>=EDATE(C102,D102)</f>
        <v>46451</v>
      </c>
      <c r="L102" s="118">
        <v>46092</v>
      </c>
      <c r="M102" s="102" t="s">
        <v>705</v>
      </c>
      <c r="N102" s="101" t="s">
        <v>611</v>
      </c>
      <c r="O102" s="126" t="s">
        <v>648</v>
      </c>
      <c r="P102" s="110" t="s"/>
      <c r="Q102" s="111" t="s"/>
      <c r="R102" s="105" t="s"/>
      <c r="S102" s="106" t="s"/>
      <c r="T102" s="98" t="s"/>
      <c r="U102" s="97" t="s"/>
      <c r="V102" s="98" t="s"/>
      <c r="W102" s="98" t="s"/>
      <c r="X102" s="98" t="s"/>
      <c r="Z102" s="98" t="s"/>
      <c r="AA102" s="98" t="s"/>
      <c r="AB102" s="98" t="s"/>
      <c r="AC102" s="98" t="s"/>
      <c r="AD102" s="98" t="s"/>
      <c r="AE102" s="98" t="s"/>
      <c r="AF102" s="98" t="s"/>
      <c r="AG102" s="98" t="s"/>
      <c r="AH102" s="98" t="s"/>
      <c r="AI102" s="98" t="s"/>
      <c r="AJ102" s="98" t="s"/>
    </row>
    <row r="103" spans="1:36">
      <c r="A103" s="98">
        <v>102</v>
      </c>
      <c r="B103" s="149" t="s">
        <v>897</v>
      </c>
      <c r="C103" s="132">
        <v>46086.732025463</v>
      </c>
      <c r="D103" s="148">
        <v>12</v>
      </c>
      <c r="E103" s="118">
        <v>46087</v>
      </c>
      <c r="F103" s="98" t="s">
        <v>236</v>
      </c>
      <c r="G103" s="98" t="s">
        <v>898</v>
      </c>
      <c r="H103" s="101" t="s">
        <v>607</v>
      </c>
      <c r="I103" s="98" t="s">
        <v>646</v>
      </c>
      <c r="J103" s="98" t="s">
        <f>=_xlfn.TEXTJOIN("+",TRUE,_xlfn._xlws.FILTER(_xlfn.TEXTSPLIT(H103,,"+"),(_xlfn.TEXTSPLIT(H103,,"+")&lt;&gt;"埃米工具")*(_xlfn.TEXTSPLIT(H103,,"+")&lt;&gt;"埃米广告通")))</f>
        <v>607</v>
      </c>
      <c r="K103" s="100">
        <f>=EDATE(C103,D103)</f>
        <v>46451</v>
      </c>
      <c r="L103" s="100" t="s"/>
      <c r="M103" s="102" t="s"/>
      <c r="N103" s="101" t="s">
        <v>611</v>
      </c>
      <c r="O103" s="110" t="s">
        <v>899</v>
      </c>
      <c r="P103" s="110" t="s"/>
      <c r="Q103" s="111" t="s"/>
      <c r="R103" s="105" t="s"/>
      <c r="S103" s="106" t="s"/>
      <c r="T103" s="98" t="s"/>
      <c r="U103" s="97" t="s"/>
      <c r="V103" s="98" t="s"/>
      <c r="W103" s="98" t="s"/>
      <c r="X103" s="98" t="s"/>
      <c r="Z103" s="98" t="s"/>
      <c r="AA103" s="98" t="s"/>
      <c r="AB103" s="98" t="s"/>
      <c r="AC103" s="98" t="s"/>
      <c r="AD103" s="98" t="s"/>
      <c r="AE103" s="98" t="s"/>
      <c r="AF103" s="98" t="s"/>
      <c r="AG103" s="98" t="s"/>
      <c r="AH103" s="98" t="s"/>
      <c r="AI103" s="98" t="s"/>
      <c r="AJ103" s="98" t="s"/>
    </row>
    <row r="104" spans="1:36">
      <c r="A104" s="98">
        <v>103</v>
      </c>
      <c r="B104" s="149" t="s">
        <v>60</v>
      </c>
      <c r="C104" s="132">
        <v>46086.7344444444</v>
      </c>
      <c r="D104" s="148">
        <v>12</v>
      </c>
      <c r="E104" s="118">
        <v>46087</v>
      </c>
      <c r="F104" s="98" t="s">
        <v>215</v>
      </c>
      <c r="G104" s="98" t="s">
        <v>900</v>
      </c>
      <c r="H104" s="101" t="s">
        <v>12</v>
      </c>
      <c r="I104" s="98" t="s">
        <v>646</v>
      </c>
      <c r="J104" s="98" t="s">
        <f>=_xlfn.TEXTJOIN("+",TRUE,_xlfn._xlws.FILTER(_xlfn.TEXTSPLIT(H104,,"+"),(_xlfn.TEXTSPLIT(H104,,"+")&lt;&gt;"埃米工具")*(_xlfn.TEXTSPLIT(H104,,"+")&lt;&gt;"埃米广告通")))</f>
        <v>12</v>
      </c>
      <c r="K104" s="100">
        <f>=EDATE(C104,D104)</f>
        <v>46451</v>
      </c>
      <c r="L104" s="118">
        <v>46086</v>
      </c>
      <c r="M104" s="102" t="s">
        <v>901</v>
      </c>
      <c r="N104" s="101" t="s">
        <v>611</v>
      </c>
      <c r="O104" s="126" t="s">
        <v>902</v>
      </c>
      <c r="P104" s="110" t="s"/>
      <c r="Q104" s="111" t="s"/>
      <c r="R104" s="105" t="s"/>
      <c r="S104" s="106" t="s"/>
      <c r="T104" s="98" t="s"/>
      <c r="U104" s="97" t="s"/>
      <c r="V104" s="98" t="s"/>
      <c r="W104" s="98" t="s"/>
      <c r="X104" s="98" t="s"/>
      <c r="Z104" s="98" t="s"/>
      <c r="AA104" s="98" t="s"/>
      <c r="AB104" s="98" t="s"/>
      <c r="AC104" s="98" t="s"/>
      <c r="AD104" s="98" t="s"/>
      <c r="AE104" s="98" t="s"/>
      <c r="AF104" s="98" t="s"/>
      <c r="AG104" s="98" t="s"/>
      <c r="AH104" s="98" t="s"/>
      <c r="AI104" s="98" t="s"/>
      <c r="AJ104" s="98" t="s"/>
    </row>
    <row r="105" spans="1:36">
      <c r="A105" s="98">
        <v>104</v>
      </c>
      <c r="B105" s="149" t="s">
        <v>903</v>
      </c>
      <c r="C105" s="132">
        <v>46086.742037037</v>
      </c>
      <c r="D105" s="148">
        <v>12</v>
      </c>
      <c r="E105" s="118">
        <v>46087</v>
      </c>
      <c r="F105" s="98" t="s">
        <v>236</v>
      </c>
      <c r="G105" s="98" t="s">
        <v>904</v>
      </c>
      <c r="H105" s="101" t="s">
        <v>607</v>
      </c>
      <c r="I105" s="98" t="s">
        <v>726</v>
      </c>
      <c r="J105" s="98" t="s">
        <f>=_xlfn.TEXTJOIN("+",TRUE,_xlfn._xlws.FILTER(_xlfn.TEXTSPLIT(H105,,"+"),(_xlfn.TEXTSPLIT(H105,,"+")&lt;&gt;"埃米工具")*(_xlfn.TEXTSPLIT(H105,,"+")&lt;&gt;"埃米广告通")))</f>
        <v>607</v>
      </c>
      <c r="K105" s="100">
        <f>=EDATE(C105,D105)</f>
        <v>46451</v>
      </c>
      <c r="L105" s="100" t="s"/>
      <c r="M105" s="102" t="s"/>
      <c r="N105" s="101" t="s">
        <v>611</v>
      </c>
      <c r="O105" s="110" t="s"/>
      <c r="P105" s="110" t="s"/>
      <c r="Q105" s="111" t="s"/>
      <c r="R105" s="105" t="s"/>
      <c r="S105" s="106" t="s"/>
      <c r="T105" s="98" t="s"/>
      <c r="U105" s="97" t="s"/>
      <c r="V105" s="98" t="s"/>
      <c r="W105" s="98" t="s"/>
      <c r="X105" s="98" t="s"/>
      <c r="Z105" s="100" t="s"/>
      <c r="AA105" s="98" t="s"/>
      <c r="AB105" s="98" t="s"/>
      <c r="AC105" s="98" t="s"/>
      <c r="AD105" s="98" t="s"/>
      <c r="AE105" s="98" t="s"/>
      <c r="AF105" s="98" t="s"/>
      <c r="AG105" s="98" t="s"/>
      <c r="AH105" s="98" t="s"/>
      <c r="AI105" s="98" t="s"/>
      <c r="AJ105" s="98" t="s"/>
    </row>
    <row r="106" spans="1:36" ht="38.25" customHeight="true">
      <c r="A106" s="98">
        <v>105</v>
      </c>
      <c r="B106" s="99" t="s">
        <v>905</v>
      </c>
      <c r="C106" s="132">
        <v>46086.7597685185</v>
      </c>
      <c r="D106" s="148">
        <v>24</v>
      </c>
      <c r="E106" s="118">
        <v>46087</v>
      </c>
      <c r="F106" s="98" t="s">
        <v>224</v>
      </c>
      <c r="G106" s="98" t="s">
        <v>906</v>
      </c>
      <c r="H106" s="101" t="s">
        <v>607</v>
      </c>
      <c r="I106" s="98" t="s">
        <v>609</v>
      </c>
      <c r="J106" s="98" t="s">
        <f>=_xlfn.TEXTJOIN("+",TRUE,_xlfn._xlws.FILTER(_xlfn.TEXTSPLIT(H106,,"+"),(_xlfn.TEXTSPLIT(H106,,"+")&lt;&gt;"埃米工具")*(_xlfn.TEXTSPLIT(H106,,"+")&lt;&gt;"埃米广告通")))</f>
        <v>607</v>
      </c>
      <c r="K106" s="100">
        <f>=EDATE(C106,D106)</f>
        <v>46817</v>
      </c>
      <c r="L106" s="100" t="s"/>
      <c r="M106" s="102" t="s"/>
      <c r="N106" s="101" t="s">
        <v>611</v>
      </c>
      <c r="O106" s="97" t="s">
        <v>879</v>
      </c>
      <c r="P106" s="110" t="s">
        <v>907</v>
      </c>
      <c r="Q106" s="111" t="s"/>
      <c r="R106" s="105" t="s"/>
      <c r="S106" s="106" t="s"/>
      <c r="T106" s="98" t="s"/>
      <c r="U106" s="97" t="s"/>
      <c r="V106" s="98" t="s"/>
      <c r="W106" s="98" t="s"/>
      <c r="X106" s="98" t="s"/>
      <c r="Z106" s="98" t="s"/>
      <c r="AA106" s="98" t="s"/>
      <c r="AB106" s="98" t="s"/>
      <c r="AC106" s="98" t="s"/>
      <c r="AD106" s="98" t="s"/>
      <c r="AE106" s="98" t="s"/>
      <c r="AF106" s="98" t="s"/>
      <c r="AG106" s="98" t="s"/>
      <c r="AH106" s="98" t="s"/>
      <c r="AI106" s="98" t="s"/>
      <c r="AJ106" s="98" t="s"/>
    </row>
    <row r="107" spans="1:36">
      <c r="A107" s="98">
        <v>106</v>
      </c>
      <c r="B107" s="99" t="s">
        <v>549</v>
      </c>
      <c r="C107" s="132">
        <v>46087.4776273148</v>
      </c>
      <c r="D107" s="148">
        <v>12</v>
      </c>
      <c r="E107" s="118">
        <v>46087</v>
      </c>
      <c r="F107" s="98" t="s">
        <v>215</v>
      </c>
      <c r="G107" s="98" t="s">
        <v>550</v>
      </c>
      <c r="H107" s="101" t="s">
        <v>607</v>
      </c>
      <c r="I107" s="98" t="s">
        <v>609</v>
      </c>
      <c r="J107" s="98" t="s">
        <f>=_xlfn.TEXTJOIN("+",TRUE,_xlfn._xlws.FILTER(_xlfn.TEXTSPLIT(H107,,"+"),(_xlfn.TEXTSPLIT(H107,,"+")&lt;&gt;"埃米工具")*(_xlfn.TEXTSPLIT(H107,,"+")&lt;&gt;"埃米广告通")))</f>
        <v>607</v>
      </c>
      <c r="K107" s="100">
        <f>=EDATE(C107,D107)</f>
        <v>46452</v>
      </c>
      <c r="L107" s="100" t="s"/>
      <c r="M107" s="102" t="s"/>
      <c r="N107" s="101" t="s">
        <v>611</v>
      </c>
      <c r="O107" s="110" t="s">
        <v>908</v>
      </c>
      <c r="P107" s="110" t="s"/>
      <c r="Q107" s="111" t="s"/>
      <c r="R107" s="105" t="s"/>
      <c r="S107" s="106" t="s"/>
      <c r="T107" s="98" t="s"/>
      <c r="U107" s="97" t="s"/>
      <c r="V107" s="98" t="s"/>
      <c r="W107" s="98" t="s"/>
      <c r="X107" s="98" t="s"/>
      <c r="Z107" s="98" t="s"/>
      <c r="AA107" s="98" t="s"/>
      <c r="AB107" s="98" t="s"/>
      <c r="AC107" s="98" t="s"/>
      <c r="AD107" s="98" t="s"/>
      <c r="AE107" s="98" t="s"/>
      <c r="AF107" s="98" t="s"/>
      <c r="AG107" s="98" t="s"/>
      <c r="AH107" s="98" t="s"/>
      <c r="AI107" s="98" t="s"/>
      <c r="AJ107" s="98" t="s"/>
    </row>
    <row r="108" spans="1:36">
      <c r="A108" s="98">
        <v>107</v>
      </c>
      <c r="B108" s="99" t="s">
        <v>909</v>
      </c>
      <c r="C108" s="132">
        <v>46087.6177199074</v>
      </c>
      <c r="D108" s="148">
        <v>24</v>
      </c>
      <c r="E108" s="118">
        <v>46087</v>
      </c>
      <c r="F108" s="98" t="s">
        <v>236</v>
      </c>
      <c r="G108" s="98" t="s">
        <v>910</v>
      </c>
      <c r="H108" s="101" t="s">
        <v>607</v>
      </c>
      <c r="I108" s="98" t="s">
        <v>609</v>
      </c>
      <c r="J108" s="98" t="s">
        <f>=_xlfn.TEXTJOIN("+",TRUE,_xlfn._xlws.FILTER(_xlfn.TEXTSPLIT(H108,,"+"),(_xlfn.TEXTSPLIT(H108,,"+")&lt;&gt;"埃米工具")*(_xlfn.TEXTSPLIT(H108,,"+")&lt;&gt;"埃米广告通")))</f>
        <v>607</v>
      </c>
      <c r="K108" s="100">
        <f>=EDATE(C108,D108)</f>
        <v>46818</v>
      </c>
      <c r="L108" s="100" t="s"/>
      <c r="M108" s="102" t="s"/>
      <c r="N108" s="101" t="s">
        <v>611</v>
      </c>
      <c r="O108" s="110" t="s">
        <v>911</v>
      </c>
      <c r="P108" s="110" t="s"/>
      <c r="Q108" s="111" t="s"/>
      <c r="R108" s="105" t="s"/>
      <c r="S108" s="106" t="s"/>
      <c r="T108" s="98" t="s"/>
      <c r="U108" s="97" t="s"/>
      <c r="V108" s="98" t="s"/>
      <c r="W108" s="98" t="s"/>
      <c r="X108" s="98" t="s"/>
      <c r="Z108" s="100" t="s"/>
      <c r="AA108" s="98" t="s"/>
      <c r="AB108" s="98" t="s"/>
      <c r="AC108" s="98" t="s"/>
      <c r="AD108" s="98" t="s"/>
      <c r="AE108" s="98" t="s"/>
      <c r="AF108" s="98" t="s"/>
      <c r="AG108" s="98" t="s"/>
      <c r="AH108" s="98" t="s"/>
      <c r="AI108" s="98" t="s"/>
      <c r="AJ108" s="98" t="s"/>
    </row>
    <row r="109" spans="1:36">
      <c r="A109" s="98">
        <v>108</v>
      </c>
      <c r="B109" s="99" t="s">
        <v>61</v>
      </c>
      <c r="C109" s="132">
        <v>46087.683125</v>
      </c>
      <c r="D109" s="148">
        <v>12</v>
      </c>
      <c r="E109" s="118">
        <v>46088</v>
      </c>
      <c r="F109" s="98" t="s">
        <v>236</v>
      </c>
      <c r="G109" s="98" t="s">
        <v>912</v>
      </c>
      <c r="H109" s="101" t="s">
        <v>12</v>
      </c>
      <c r="I109" s="98" t="s">
        <v>609</v>
      </c>
      <c r="J109" s="98" t="s">
        <f>=_xlfn.TEXTJOIN("+",TRUE,_xlfn._xlws.FILTER(_xlfn.TEXTSPLIT(H109,,"+"),(_xlfn.TEXTSPLIT(H109,,"+")&lt;&gt;"埃米工具")*(_xlfn.TEXTSPLIT(H109,,"+")&lt;&gt;"埃米广告通")))</f>
        <v>12</v>
      </c>
      <c r="K109" s="100">
        <f>=EDATE(C109,D109)</f>
        <v>46452</v>
      </c>
      <c r="L109" s="118">
        <v>46092</v>
      </c>
      <c r="M109" s="102" t="s">
        <v>913</v>
      </c>
      <c r="N109" s="101" t="s">
        <v>611</v>
      </c>
      <c r="O109" s="110" t="s">
        <v>848</v>
      </c>
      <c r="P109" s="103" t="s"/>
      <c r="Q109" s="111" t="s"/>
      <c r="R109" s="105" t="s"/>
      <c r="S109" s="106" t="s"/>
      <c r="T109" s="98" t="s"/>
      <c r="U109" s="98" t="s"/>
      <c r="V109" s="98" t="s"/>
      <c r="W109" s="98" t="s"/>
      <c r="X109" s="98" t="s"/>
      <c r="Z109" s="98" t="s"/>
      <c r="AA109" s="98" t="s"/>
      <c r="AB109" s="98" t="s"/>
      <c r="AC109" s="98" t="s"/>
      <c r="AD109" s="98" t="s"/>
      <c r="AE109" s="98" t="s"/>
      <c r="AF109" s="98" t="s"/>
      <c r="AG109" s="98" t="s"/>
      <c r="AH109" s="98" t="s"/>
      <c r="AI109" s="98" t="s"/>
      <c r="AJ109" s="98" t="s"/>
    </row>
    <row r="110" spans="1:39" s="256" customFormat="true">
      <c r="A110" s="98">
        <v>109</v>
      </c>
      <c r="B110" s="99" t="s">
        <v>914</v>
      </c>
      <c r="C110" s="132">
        <v>46087.6810300926</v>
      </c>
      <c r="D110" s="148">
        <v>12</v>
      </c>
      <c r="E110" s="118">
        <v>46088</v>
      </c>
      <c r="F110" s="98" t="s">
        <v>234</v>
      </c>
      <c r="G110" s="98" t="s">
        <v>915</v>
      </c>
      <c r="H110" s="101" t="s">
        <v>607</v>
      </c>
      <c r="I110" s="98" t="s">
        <v>609</v>
      </c>
      <c r="J110" s="98" t="s">
        <f>=_xlfn.TEXTJOIN("+",TRUE,_xlfn._xlws.FILTER(_xlfn.TEXTSPLIT(H110,,"+"),(_xlfn.TEXTSPLIT(H110,,"+")&lt;&gt;"埃米工具")*(_xlfn.TEXTSPLIT(H110,,"+")&lt;&gt;"埃米广告通")))</f>
        <v>607</v>
      </c>
      <c r="K110" s="100">
        <f>=EDATE(C110,D110)</f>
        <v>46452</v>
      </c>
      <c r="L110" s="100" t="s"/>
      <c r="M110" s="98" t="s"/>
      <c r="N110" s="101" t="s">
        <v>611</v>
      </c>
      <c r="O110" s="110" t="s">
        <v>848</v>
      </c>
      <c r="P110" s="110" t="s"/>
      <c r="Q110" s="111" t="s"/>
      <c r="R110" s="105" t="s"/>
      <c r="S110" s="105" t="s"/>
      <c r="T110" s="97" t="s"/>
      <c r="U110" s="97" t="s"/>
      <c r="V110" s="97" t="s"/>
      <c r="W110" s="97" t="s"/>
      <c r="X110" s="97" t="s"/>
      <c r="Y110" s="97" t="s"/>
      <c r="Z110" s="98" t="s"/>
      <c r="AA110" s="98" t="s"/>
      <c r="AB110" s="98" t="s"/>
      <c r="AC110" s="98" t="s"/>
      <c r="AD110" s="98" t="s"/>
      <c r="AE110" s="98" t="s"/>
      <c r="AF110" s="98" t="s"/>
      <c r="AG110" s="98" t="s"/>
      <c r="AH110" s="98" t="s"/>
      <c r="AI110" s="98" t="s"/>
      <c r="AJ110" s="98" t="s"/>
      <c r="AK110" s="97" t="s"/>
      <c r="AL110" s="97" t="s"/>
      <c r="AM110" s="97" t="s"/>
    </row>
    <row r="111" spans="1:39" s="256" customFormat="true">
      <c r="A111" s="98">
        <v>110</v>
      </c>
      <c r="B111" s="99" t="s">
        <v>313</v>
      </c>
      <c r="C111" s="132">
        <v>46087.6911805556</v>
      </c>
      <c r="D111" s="148">
        <v>12</v>
      </c>
      <c r="E111" s="118">
        <v>46088</v>
      </c>
      <c r="F111" s="98" t="s">
        <v>215</v>
      </c>
      <c r="G111" s="98" t="s">
        <v>916</v>
      </c>
      <c r="H111" s="101" t="s">
        <v>607</v>
      </c>
      <c r="I111" s="98" t="s">
        <v>609</v>
      </c>
      <c r="J111" s="98" t="s">
        <f>=_xlfn.TEXTJOIN("+",TRUE,_xlfn._xlws.FILTER(_xlfn.TEXTSPLIT(H111,,"+"),(_xlfn.TEXTSPLIT(H111,,"+")&lt;&gt;"埃米工具")*(_xlfn.TEXTSPLIT(H111,,"+")&lt;&gt;"埃米广告通")))</f>
        <v>607</v>
      </c>
      <c r="K111" s="100">
        <f>=EDATE(C111,D111)</f>
        <v>46452</v>
      </c>
      <c r="L111" s="100" t="s"/>
      <c r="M111" s="102" t="s"/>
      <c r="N111" s="101" t="s">
        <v>611</v>
      </c>
      <c r="O111" s="110" t="s">
        <v>294</v>
      </c>
      <c r="P111" s="110" t="s"/>
      <c r="Q111" s="111" t="s"/>
      <c r="R111" s="105" t="s"/>
      <c r="S111" s="105" t="s"/>
      <c r="T111" s="97" t="s"/>
      <c r="U111" s="97" t="s"/>
      <c r="V111" s="97" t="s"/>
      <c r="W111" s="97" t="s"/>
      <c r="X111" s="97" t="s"/>
      <c r="Y111" s="97" t="s"/>
      <c r="Z111" s="98" t="s"/>
      <c r="AA111" s="98" t="s"/>
      <c r="AB111" s="98" t="s"/>
      <c r="AC111" s="98" t="s"/>
      <c r="AD111" s="98" t="s"/>
      <c r="AE111" s="98" t="s"/>
      <c r="AF111" s="98" t="s"/>
      <c r="AG111" s="98" t="s"/>
      <c r="AH111" s="98" t="s"/>
      <c r="AI111" s="98" t="s"/>
      <c r="AJ111" s="98" t="s"/>
      <c r="AK111" s="97" t="s"/>
      <c r="AL111" s="97" t="s"/>
      <c r="AM111" s="97" t="s"/>
    </row>
    <row r="112" spans="1:39" s="256" customFormat="true">
      <c r="A112" s="98">
        <v>111</v>
      </c>
      <c r="B112" s="99" t="s">
        <v>62</v>
      </c>
      <c r="C112" s="132">
        <v>46087.6607060185</v>
      </c>
      <c r="D112" s="148">
        <v>12</v>
      </c>
      <c r="E112" s="118">
        <v>46088</v>
      </c>
      <c r="F112" s="98" t="s">
        <v>234</v>
      </c>
      <c r="G112" s="98" t="s">
        <v>917</v>
      </c>
      <c r="H112" s="101" t="s">
        <v>12</v>
      </c>
      <c r="I112" s="98" t="s">
        <v>609</v>
      </c>
      <c r="J112" s="98" t="s">
        <f>=_xlfn.TEXTJOIN("+",TRUE,_xlfn._xlws.FILTER(_xlfn.TEXTSPLIT(H112,,"+"),(_xlfn.TEXTSPLIT(H112,,"+")&lt;&gt;"埃米工具")*(_xlfn.TEXTSPLIT(H112,,"+")&lt;&gt;"埃米广告通")))</f>
        <v>12</v>
      </c>
      <c r="K112" s="100">
        <f>=EDATE(C112,D112)</f>
        <v>46452</v>
      </c>
      <c r="L112" s="118">
        <v>46092</v>
      </c>
      <c r="M112" s="102" t="s">
        <v>913</v>
      </c>
      <c r="N112" s="101" t="s">
        <v>611</v>
      </c>
      <c r="O112" s="110" t="s">
        <v>918</v>
      </c>
      <c r="P112" s="110" t="s"/>
      <c r="Q112" s="111" t="s"/>
      <c r="R112" s="105" t="s"/>
      <c r="S112" s="105" t="s"/>
      <c r="T112" s="97" t="s"/>
      <c r="U112" s="97" t="s"/>
      <c r="V112" s="97" t="s"/>
      <c r="W112" s="97" t="s"/>
      <c r="X112" s="97" t="s"/>
      <c r="Y112" s="97" t="s"/>
      <c r="Z112" s="98" t="s"/>
      <c r="AA112" s="98" t="s"/>
      <c r="AB112" s="98" t="s"/>
      <c r="AC112" s="98" t="s"/>
      <c r="AD112" s="98" t="s"/>
      <c r="AE112" s="98" t="s"/>
      <c r="AF112" s="98" t="s"/>
      <c r="AG112" s="98" t="s"/>
      <c r="AH112" s="98" t="s"/>
      <c r="AI112" s="98" t="s"/>
      <c r="AJ112" s="98" t="s"/>
      <c r="AK112" s="97" t="s"/>
      <c r="AL112" s="97" t="s"/>
      <c r="AM112" s="97" t="s"/>
    </row>
    <row r="113" spans="1:39" s="256" customFormat="true">
      <c r="A113" s="98">
        <v>112</v>
      </c>
      <c r="B113" s="99" t="s">
        <v>63</v>
      </c>
      <c r="C113" s="132">
        <v>46087.6824305556</v>
      </c>
      <c r="D113" s="148">
        <v>12</v>
      </c>
      <c r="E113" s="118">
        <v>46088</v>
      </c>
      <c r="F113" s="98" t="s">
        <v>215</v>
      </c>
      <c r="G113" s="98" t="s">
        <v>919</v>
      </c>
      <c r="H113" s="101" t="s">
        <v>12</v>
      </c>
      <c r="I113" s="98" t="s">
        <v>646</v>
      </c>
      <c r="J113" s="98" t="s">
        <f>=_xlfn.TEXTJOIN("+",TRUE,_xlfn._xlws.FILTER(_xlfn.TEXTSPLIT(H113,,"+"),(_xlfn.TEXTSPLIT(H113,,"+")&lt;&gt;"埃米工具")*(_xlfn.TEXTSPLIT(H113,,"+")&lt;&gt;"埃米广告通")))</f>
        <v>12</v>
      </c>
      <c r="K113" s="100">
        <f>=EDATE(C113,D113)</f>
        <v>46452</v>
      </c>
      <c r="L113" s="118">
        <v>46092</v>
      </c>
      <c r="M113" s="102" t="s">
        <v>920</v>
      </c>
      <c r="N113" s="101" t="s">
        <v>611</v>
      </c>
      <c r="O113" s="126" t="s">
        <v>921</v>
      </c>
      <c r="P113" s="110" t="s"/>
      <c r="Q113" s="111" t="s"/>
      <c r="R113" s="105" t="s"/>
      <c r="S113" s="105" t="s"/>
      <c r="T113" s="97" t="s"/>
      <c r="U113" s="97" t="s"/>
      <c r="V113" s="97" t="s"/>
      <c r="W113" s="97" t="s"/>
      <c r="X113" s="97" t="s"/>
      <c r="Y113" s="97" t="s"/>
      <c r="Z113" s="98" t="s"/>
      <c r="AA113" s="98" t="s"/>
      <c r="AB113" s="98" t="s"/>
      <c r="AC113" s="98" t="s"/>
      <c r="AD113" s="98" t="s"/>
      <c r="AE113" s="98" t="s"/>
      <c r="AF113" s="98" t="s"/>
      <c r="AG113" s="98" t="s"/>
      <c r="AH113" s="98" t="s"/>
      <c r="AI113" s="98" t="s"/>
      <c r="AJ113" s="98" t="s"/>
      <c r="AK113" s="97" t="s"/>
      <c r="AL113" s="97" t="s"/>
      <c r="AM113" s="97" t="s"/>
    </row>
    <row r="114" spans="1:39" s="256" customFormat="true">
      <c r="A114" s="98">
        <v>113</v>
      </c>
      <c r="B114" s="99" t="s">
        <v>64</v>
      </c>
      <c r="C114" s="132">
        <v>46087.6923958333</v>
      </c>
      <c r="D114" s="148">
        <v>12</v>
      </c>
      <c r="E114" s="118">
        <v>46088</v>
      </c>
      <c r="F114" s="98" t="s">
        <v>236</v>
      </c>
      <c r="G114" s="98" t="s">
        <v>922</v>
      </c>
      <c r="H114" s="101" t="s">
        <v>12</v>
      </c>
      <c r="I114" s="98" t="s">
        <v>609</v>
      </c>
      <c r="J114" s="98" t="s">
        <f>=_xlfn.TEXTJOIN("+",TRUE,_xlfn._xlws.FILTER(_xlfn.TEXTSPLIT(H114,,"+"),(_xlfn.TEXTSPLIT(H114,,"+")&lt;&gt;"埃米工具")*(_xlfn.TEXTSPLIT(H114,,"+")&lt;&gt;"埃米广告通")))</f>
        <v>12</v>
      </c>
      <c r="K114" s="100">
        <f>=EDATE(C114,D114)</f>
        <v>46452</v>
      </c>
      <c r="L114" s="118">
        <v>46097</v>
      </c>
      <c r="M114" s="102" t="s">
        <v>913</v>
      </c>
      <c r="N114" s="101" t="s">
        <v>611</v>
      </c>
      <c r="O114" s="110" t="s">
        <v>923</v>
      </c>
      <c r="P114" s="110" t="s"/>
      <c r="Q114" s="111" t="s"/>
      <c r="R114" s="105" t="s"/>
      <c r="S114" s="105" t="s"/>
      <c r="T114" s="97" t="s"/>
      <c r="U114" s="97" t="s"/>
      <c r="V114" s="97" t="s"/>
      <c r="W114" s="97" t="s"/>
      <c r="X114" s="97" t="s"/>
      <c r="Y114" s="97" t="s"/>
      <c r="Z114" s="98" t="s"/>
      <c r="AA114" s="98" t="s"/>
      <c r="AB114" s="98" t="s"/>
      <c r="AC114" s="98" t="s"/>
      <c r="AD114" s="98" t="s"/>
      <c r="AE114" s="98" t="s"/>
      <c r="AF114" s="98" t="s"/>
      <c r="AG114" s="98" t="s"/>
      <c r="AH114" s="98" t="s"/>
      <c r="AI114" s="98" t="s"/>
      <c r="AJ114" s="98" t="s"/>
      <c r="AK114" s="97" t="s"/>
      <c r="AL114" s="97" t="s"/>
      <c r="AM114" s="97" t="s"/>
    </row>
    <row r="115" spans="1:39" s="256" customFormat="true">
      <c r="A115" s="98">
        <v>114</v>
      </c>
      <c r="B115" s="99" t="s">
        <v>924</v>
      </c>
      <c r="C115" s="132">
        <v>46087.7025231482</v>
      </c>
      <c r="D115" s="148">
        <v>24</v>
      </c>
      <c r="E115" s="118">
        <v>46088</v>
      </c>
      <c r="F115" s="98" t="s">
        <v>234</v>
      </c>
      <c r="G115" s="98" t="s">
        <v>925</v>
      </c>
      <c r="H115" s="101" t="s">
        <v>607</v>
      </c>
      <c r="I115" s="98" t="s">
        <v>609</v>
      </c>
      <c r="J115" s="98" t="s">
        <f>=_xlfn.TEXTJOIN("+",TRUE,_xlfn._xlws.FILTER(_xlfn.TEXTSPLIT(H115,,"+"),(_xlfn.TEXTSPLIT(H115,,"+")&lt;&gt;"埃米工具")*(_xlfn.TEXTSPLIT(H115,,"+")&lt;&gt;"埃米广告通")))</f>
        <v>607</v>
      </c>
      <c r="K115" s="100">
        <f>=EDATE(C115,D115)</f>
        <v>46818</v>
      </c>
      <c r="L115" s="100" t="s"/>
      <c r="M115" s="98" t="s"/>
      <c r="N115" s="101" t="s">
        <v>611</v>
      </c>
      <c r="O115" s="110" t="s">
        <v>748</v>
      </c>
      <c r="P115" s="110" t="s"/>
      <c r="Q115" s="111" t="s"/>
      <c r="R115" s="105" t="s"/>
      <c r="S115" s="105" t="s"/>
      <c r="T115" s="97" t="s"/>
      <c r="U115" s="97" t="s"/>
      <c r="V115" s="97" t="s"/>
      <c r="W115" s="97" t="s"/>
      <c r="X115" s="97" t="s"/>
      <c r="Y115" s="97" t="s"/>
      <c r="Z115" s="98" t="s"/>
      <c r="AA115" s="98" t="s"/>
      <c r="AB115" s="98" t="s"/>
      <c r="AC115" s="98" t="s"/>
      <c r="AD115" s="98" t="s"/>
      <c r="AE115" s="98" t="s"/>
      <c r="AF115" s="98" t="s"/>
      <c r="AG115" s="98" t="s"/>
      <c r="AH115" s="98" t="s"/>
      <c r="AI115" s="98" t="s"/>
      <c r="AJ115" s="98" t="s"/>
      <c r="AK115" s="97" t="s"/>
      <c r="AL115" s="97" t="s"/>
      <c r="AM115" s="97" t="s"/>
    </row>
    <row r="116" spans="1:39" s="256" customFormat="true">
      <c r="A116" s="98">
        <v>115</v>
      </c>
      <c r="B116" s="99" t="s">
        <v>253</v>
      </c>
      <c r="C116" s="132">
        <v>46087.7188078704</v>
      </c>
      <c r="D116" s="148">
        <v>12</v>
      </c>
      <c r="E116" s="118">
        <v>46088</v>
      </c>
      <c r="F116" s="98" t="s">
        <v>236</v>
      </c>
      <c r="G116" s="150" t="s">
        <v>926</v>
      </c>
      <c r="H116" s="101" t="s">
        <v>607</v>
      </c>
      <c r="I116" s="98" t="s">
        <v>609</v>
      </c>
      <c r="J116" s="98" t="s">
        <f>=_xlfn.TEXTJOIN("+",TRUE,_xlfn._xlws.FILTER(_xlfn.TEXTSPLIT(H116,,"+"),(_xlfn.TEXTSPLIT(H116,,"+")&lt;&gt;"埃米工具")*(_xlfn.TEXTSPLIT(H116,,"+")&lt;&gt;"埃米广告通")))</f>
        <v>607</v>
      </c>
      <c r="K116" s="100">
        <f>=EDATE(C116,D116)</f>
        <v>46452</v>
      </c>
      <c r="L116" s="100" t="s"/>
      <c r="M116" s="102" t="s"/>
      <c r="N116" s="101" t="s">
        <v>611</v>
      </c>
      <c r="O116" s="110" t="s">
        <v>703</v>
      </c>
      <c r="P116" s="110" t="s"/>
      <c r="Q116" s="111" t="s"/>
      <c r="R116" s="105" t="s"/>
      <c r="S116" s="105" t="s"/>
      <c r="T116" s="97" t="s"/>
      <c r="U116" s="97" t="s"/>
      <c r="V116" s="97" t="s"/>
      <c r="W116" s="97" t="s"/>
      <c r="X116" s="97" t="s"/>
      <c r="Y116" s="97" t="s"/>
      <c r="Z116" s="98" t="s"/>
      <c r="AA116" s="98" t="s"/>
      <c r="AB116" s="98" t="s"/>
      <c r="AC116" s="98" t="s"/>
      <c r="AD116" s="98" t="s"/>
      <c r="AE116" s="98" t="s"/>
      <c r="AF116" s="98" t="s"/>
      <c r="AG116" s="98" t="s"/>
      <c r="AH116" s="98" t="s"/>
      <c r="AI116" s="98" t="s"/>
      <c r="AJ116" s="98" t="s"/>
      <c r="AK116" s="97" t="s"/>
      <c r="AL116" s="97" t="s"/>
      <c r="AM116" s="97" t="s"/>
    </row>
    <row r="117" spans="1:39" s="256" customFormat="true">
      <c r="A117" s="98">
        <v>116</v>
      </c>
      <c r="B117" s="99" t="s">
        <v>309</v>
      </c>
      <c r="C117" s="151">
        <v>46087.7222222222</v>
      </c>
      <c r="D117" s="148">
        <v>12</v>
      </c>
      <c r="E117" s="118">
        <v>46088</v>
      </c>
      <c r="F117" s="98" t="s">
        <v>215</v>
      </c>
      <c r="G117" s="103" t="s">
        <v>927</v>
      </c>
      <c r="H117" s="101" t="s">
        <v>607</v>
      </c>
      <c r="I117" s="98" t="s">
        <v>609</v>
      </c>
      <c r="J117" s="98" t="s">
        <f>=_xlfn.TEXTJOIN("+",TRUE,_xlfn._xlws.FILTER(_xlfn.TEXTSPLIT(H117,,"+"),(_xlfn.TEXTSPLIT(H117,,"+")&lt;&gt;"埃米工具")*(_xlfn.TEXTSPLIT(H117,,"+")&lt;&gt;"埃米广告通")))</f>
        <v>607</v>
      </c>
      <c r="K117" s="100">
        <f>=EDATE(C117,D117)</f>
        <v>46452</v>
      </c>
      <c r="L117" s="100" t="s"/>
      <c r="M117" s="102" t="s"/>
      <c r="N117" s="101" t="s">
        <v>611</v>
      </c>
      <c r="O117" s="110" t="s">
        <v>294</v>
      </c>
      <c r="P117" s="110" t="s"/>
      <c r="Q117" s="111" t="s"/>
      <c r="R117" s="105" t="s"/>
      <c r="S117" s="105" t="s"/>
      <c r="T117" s="97" t="s"/>
      <c r="U117" s="97" t="s"/>
      <c r="V117" s="97" t="s"/>
      <c r="W117" s="97" t="s"/>
      <c r="X117" s="97" t="s"/>
      <c r="Y117" s="97" t="s"/>
      <c r="Z117" s="98" t="s"/>
      <c r="AA117" s="98" t="s"/>
      <c r="AB117" s="98" t="s"/>
      <c r="AC117" s="98" t="s"/>
      <c r="AD117" s="98" t="s"/>
      <c r="AE117" s="98" t="s"/>
      <c r="AF117" s="98" t="s"/>
      <c r="AG117" s="98" t="s"/>
      <c r="AH117" s="98" t="s"/>
      <c r="AI117" s="98" t="s"/>
      <c r="AJ117" s="98" t="s"/>
      <c r="AK117" s="97" t="s"/>
      <c r="AL117" s="97" t="s"/>
      <c r="AM117" s="97" t="s"/>
    </row>
    <row r="118" spans="1:39" s="256" customFormat="true">
      <c r="A118" s="98">
        <v>117</v>
      </c>
      <c r="B118" s="99" t="s">
        <v>928</v>
      </c>
      <c r="C118" s="151">
        <v>46087.7152777778</v>
      </c>
      <c r="D118" s="148">
        <v>12</v>
      </c>
      <c r="E118" s="118">
        <v>46088</v>
      </c>
      <c r="F118" s="98" t="s">
        <v>234</v>
      </c>
      <c r="G118" s="103" t="s">
        <v>929</v>
      </c>
      <c r="H118" s="101" t="s">
        <v>607</v>
      </c>
      <c r="I118" s="98" t="s">
        <v>609</v>
      </c>
      <c r="J118" s="98" t="s">
        <f>=_xlfn.TEXTJOIN("+",TRUE,_xlfn._xlws.FILTER(_xlfn.TEXTSPLIT(H118,,"+"),(_xlfn.TEXTSPLIT(H118,,"+")&lt;&gt;"埃米工具")*(_xlfn.TEXTSPLIT(H118,,"+")&lt;&gt;"埃米广告通")))</f>
        <v>607</v>
      </c>
      <c r="K118" s="100">
        <f>=EDATE(C118,D118)</f>
        <v>46452</v>
      </c>
      <c r="L118" s="100" t="s"/>
      <c r="M118" s="102" t="s"/>
      <c r="N118" s="101" t="s">
        <v>611</v>
      </c>
      <c r="O118" s="110" t="s">
        <v>930</v>
      </c>
      <c r="P118" s="110" t="s"/>
      <c r="Q118" s="111" t="s"/>
      <c r="R118" s="105" t="s"/>
      <c r="S118" s="105" t="s"/>
      <c r="T118" s="97" t="s"/>
      <c r="U118" s="97" t="s"/>
      <c r="V118" s="97" t="s"/>
      <c r="W118" s="97" t="s"/>
      <c r="X118" s="97" t="s"/>
      <c r="Y118" s="97" t="s"/>
      <c r="Z118" s="98" t="s"/>
      <c r="AA118" s="98" t="s"/>
      <c r="AB118" s="98" t="s"/>
      <c r="AC118" s="98" t="s"/>
      <c r="AD118" s="98" t="s"/>
      <c r="AE118" s="98" t="s"/>
      <c r="AF118" s="98" t="s"/>
      <c r="AG118" s="98" t="s"/>
      <c r="AH118" s="98" t="s"/>
      <c r="AI118" s="98" t="s"/>
      <c r="AJ118" s="98" t="s"/>
      <c r="AK118" s="97" t="s"/>
      <c r="AL118" s="97" t="s"/>
      <c r="AM118" s="97" t="s"/>
    </row>
    <row r="119" spans="1:39" s="256" customFormat="true">
      <c r="A119" s="98">
        <v>118</v>
      </c>
      <c r="B119" s="99" t="s">
        <v>311</v>
      </c>
      <c r="C119" s="151">
        <v>46087.7270833333</v>
      </c>
      <c r="D119" s="148">
        <v>12</v>
      </c>
      <c r="E119" s="118">
        <v>46088</v>
      </c>
      <c r="F119" s="98" t="s">
        <v>215</v>
      </c>
      <c r="G119" s="103" t="s">
        <v>931</v>
      </c>
      <c r="H119" s="101" t="s">
        <v>607</v>
      </c>
      <c r="I119" s="98" t="s">
        <v>609</v>
      </c>
      <c r="J119" s="98" t="s">
        <f>=_xlfn.TEXTJOIN("+",TRUE,_xlfn._xlws.FILTER(_xlfn.TEXTSPLIT(H119,,"+"),(_xlfn.TEXTSPLIT(H119,,"+")&lt;&gt;"埃米工具")*(_xlfn.TEXTSPLIT(H119,,"+")&lt;&gt;"埃米广告通")))</f>
        <v>607</v>
      </c>
      <c r="K119" s="100">
        <f>=EDATE(C119,D119)</f>
        <v>46452</v>
      </c>
      <c r="L119" s="100" t="s"/>
      <c r="M119" s="102" t="s"/>
      <c r="N119" s="101" t="s">
        <v>611</v>
      </c>
      <c r="O119" s="110" t="s">
        <v>294</v>
      </c>
      <c r="P119" s="110" t="s"/>
      <c r="Q119" s="111" t="s"/>
      <c r="R119" s="105" t="s"/>
      <c r="S119" s="105" t="s"/>
      <c r="T119" s="97" t="s"/>
      <c r="U119" s="97" t="s"/>
      <c r="V119" s="97" t="s"/>
      <c r="W119" s="97" t="s"/>
      <c r="X119" s="97" t="s"/>
      <c r="Y119" s="97" t="s"/>
      <c r="Z119" s="98" t="s"/>
      <c r="AA119" s="98" t="s"/>
      <c r="AB119" s="98" t="s"/>
      <c r="AC119" s="98" t="s"/>
      <c r="AD119" s="98" t="s"/>
      <c r="AE119" s="98" t="s"/>
      <c r="AF119" s="98" t="s"/>
      <c r="AG119" s="98" t="s"/>
      <c r="AH119" s="98" t="s"/>
      <c r="AI119" s="98" t="s"/>
      <c r="AJ119" s="98" t="s"/>
      <c r="AK119" s="97" t="s"/>
      <c r="AL119" s="97" t="s"/>
      <c r="AM119" s="97" t="s"/>
    </row>
    <row r="120" spans="1:39" s="256" customFormat="true">
      <c r="A120" s="98">
        <v>119</v>
      </c>
      <c r="B120" s="99" t="s">
        <v>65</v>
      </c>
      <c r="C120" s="132">
        <v>46089.7509837962</v>
      </c>
      <c r="D120" s="148">
        <v>12</v>
      </c>
      <c r="E120" s="120">
        <v>46090</v>
      </c>
      <c r="F120" s="98" t="s">
        <v>234</v>
      </c>
      <c r="G120" s="98" t="s">
        <v>932</v>
      </c>
      <c r="H120" s="101" t="s">
        <v>12</v>
      </c>
      <c r="I120" s="98" t="s">
        <v>609</v>
      </c>
      <c r="J120" s="98" t="s">
        <f>=_xlfn.TEXTJOIN("+",TRUE,_xlfn._xlws.FILTER(_xlfn.TEXTSPLIT(H120,,"+"),(_xlfn.TEXTSPLIT(H120,,"+")&lt;&gt;"埃米工具")*(_xlfn.TEXTSPLIT(H120,,"+")&lt;&gt;"埃米广告通")))</f>
        <v>12</v>
      </c>
      <c r="K120" s="100">
        <f>=EDATE(C120,D120)</f>
        <v>46454</v>
      </c>
      <c r="L120" s="118" t="s"/>
      <c r="M120" s="102" t="s"/>
      <c r="N120" s="101" t="s">
        <v>611</v>
      </c>
      <c r="O120" s="110" t="s">
        <v>933</v>
      </c>
      <c r="P120" s="110" t="s">
        <v>934</v>
      </c>
      <c r="Q120" s="111" t="s"/>
      <c r="R120" s="105" t="s"/>
      <c r="S120" s="105" t="s"/>
      <c r="T120" s="97" t="s"/>
      <c r="U120" s="97" t="s"/>
      <c r="V120" s="97" t="s"/>
      <c r="W120" s="97" t="s"/>
      <c r="X120" s="97" t="s"/>
      <c r="Y120" s="97" t="s"/>
      <c r="Z120" s="98" t="s"/>
      <c r="AA120" s="98" t="s"/>
      <c r="AB120" s="98" t="s"/>
      <c r="AC120" s="98" t="s"/>
      <c r="AD120" s="98" t="s"/>
      <c r="AE120" s="98" t="s"/>
      <c r="AF120" s="98" t="s"/>
      <c r="AG120" s="98" t="s"/>
      <c r="AH120" s="98" t="s"/>
      <c r="AI120" s="98" t="s"/>
      <c r="AJ120" s="98" t="s"/>
      <c r="AK120" s="97" t="s"/>
      <c r="AL120" s="97" t="s"/>
      <c r="AM120" s="97" t="s"/>
    </row>
    <row r="121" spans="1:39" s="256" customFormat="true">
      <c r="A121" s="98">
        <v>120</v>
      </c>
      <c r="B121" s="99" t="s">
        <v>66</v>
      </c>
      <c r="C121" s="132">
        <v>46087.7388888889</v>
      </c>
      <c r="D121" s="148">
        <v>12</v>
      </c>
      <c r="E121" s="118">
        <v>46090</v>
      </c>
      <c r="F121" s="98" t="s">
        <v>236</v>
      </c>
      <c r="G121" s="98" t="s">
        <v>935</v>
      </c>
      <c r="H121" s="101" t="s">
        <v>12</v>
      </c>
      <c r="I121" s="98" t="s">
        <v>609</v>
      </c>
      <c r="J121" s="98" t="s">
        <f>=_xlfn.TEXTJOIN("+",TRUE,_xlfn._xlws.FILTER(_xlfn.TEXTSPLIT(H121,,"+"),(_xlfn.TEXTSPLIT(H121,,"+")&lt;&gt;"埃米工具")*(_xlfn.TEXTSPLIT(H121,,"+")&lt;&gt;"埃米广告通")))</f>
        <v>12</v>
      </c>
      <c r="K121" s="100">
        <f>=EDATE(C121,D121)</f>
        <v>46452</v>
      </c>
      <c r="L121" s="118">
        <v>46121</v>
      </c>
      <c r="M121" s="102" t="s">
        <v>610</v>
      </c>
      <c r="N121" s="101" t="s">
        <v>611</v>
      </c>
      <c r="O121" s="110" t="s">
        <v>837</v>
      </c>
      <c r="P121" s="110" t="s">
        <v>936</v>
      </c>
      <c r="Q121" s="104" t="s">
        <v>845</v>
      </c>
      <c r="R121" s="142" t="s"/>
      <c r="S121" s="97" t="s"/>
      <c r="T121" s="97" t="s"/>
      <c r="U121" s="97" t="s"/>
      <c r="V121" s="97" t="s"/>
      <c r="W121" s="97" t="s"/>
      <c r="X121" s="97" t="s"/>
      <c r="Y121" s="97" t="s"/>
      <c r="Z121" s="98" t="s"/>
      <c r="AA121" s="98" t="s"/>
      <c r="AB121" s="98" t="s"/>
      <c r="AC121" s="98" t="s"/>
      <c r="AD121" s="98" t="s"/>
      <c r="AE121" s="98" t="s"/>
      <c r="AF121" s="98" t="s"/>
      <c r="AG121" s="98" t="s"/>
      <c r="AH121" s="98" t="s"/>
      <c r="AI121" s="98" t="s"/>
      <c r="AJ121" s="98" t="s"/>
      <c r="AK121" s="97" t="s"/>
      <c r="AL121" s="97" t="s"/>
      <c r="AM121" s="97" t="s"/>
    </row>
    <row r="122" spans="1:39" s="256" customFormat="true">
      <c r="A122" s="98">
        <v>121</v>
      </c>
      <c r="B122" s="99" t="s">
        <v>937</v>
      </c>
      <c r="C122" s="132">
        <v>46087.7544791667</v>
      </c>
      <c r="D122" s="148">
        <v>12</v>
      </c>
      <c r="E122" s="118">
        <v>46090</v>
      </c>
      <c r="F122" s="98" t="s">
        <v>224</v>
      </c>
      <c r="G122" s="98" t="s">
        <v>938</v>
      </c>
      <c r="H122" s="101" t="s">
        <v>607</v>
      </c>
      <c r="I122" s="98" t="s">
        <v>609</v>
      </c>
      <c r="J122" s="98" t="s">
        <f>=_xlfn.TEXTJOIN("+",TRUE,_xlfn._xlws.FILTER(_xlfn.TEXTSPLIT(H122,,"+"),(_xlfn.TEXTSPLIT(H122,,"+")&lt;&gt;"埃米工具")*(_xlfn.TEXTSPLIT(H122,,"+")&lt;&gt;"埃米广告通")))</f>
        <v>607</v>
      </c>
      <c r="K122" s="100">
        <f>=EDATE(C122,D122)</f>
        <v>46452</v>
      </c>
      <c r="L122" s="100" t="s"/>
      <c r="M122" s="102" t="s"/>
      <c r="N122" s="101" t="s">
        <v>611</v>
      </c>
      <c r="O122" s="110" t="s">
        <v>748</v>
      </c>
      <c r="P122" s="110" t="s"/>
      <c r="Q122" s="111" t="s"/>
      <c r="R122" s="105" t="s"/>
      <c r="S122" s="105" t="s"/>
      <c r="T122" s="97" t="s"/>
      <c r="U122" s="97" t="s"/>
      <c r="V122" s="97" t="s"/>
      <c r="W122" s="97" t="s"/>
      <c r="X122" s="97" t="s"/>
      <c r="Y122" s="97" t="s"/>
      <c r="Z122" s="98" t="s"/>
      <c r="AA122" s="98" t="s"/>
      <c r="AB122" s="98" t="s"/>
      <c r="AC122" s="98" t="s"/>
      <c r="AD122" s="98" t="s"/>
      <c r="AE122" s="98" t="s"/>
      <c r="AF122" s="98" t="s"/>
      <c r="AG122" s="98" t="s"/>
      <c r="AH122" s="98" t="s"/>
      <c r="AI122" s="98" t="s"/>
      <c r="AJ122" s="98" t="s"/>
      <c r="AK122" s="97" t="s"/>
      <c r="AL122" s="97" t="s"/>
      <c r="AM122" s="97" t="s"/>
    </row>
    <row r="123" spans="1:39" s="256" customFormat="true">
      <c r="A123" s="98">
        <v>122</v>
      </c>
      <c r="B123" s="99" t="s">
        <v>67</v>
      </c>
      <c r="C123" s="132">
        <v>46087.7831712962</v>
      </c>
      <c r="D123" s="148">
        <v>12</v>
      </c>
      <c r="E123" s="118">
        <v>46090</v>
      </c>
      <c r="F123" s="98" t="s">
        <v>215</v>
      </c>
      <c r="G123" s="98" t="s">
        <v>939</v>
      </c>
      <c r="H123" s="101" t="s">
        <v>12</v>
      </c>
      <c r="I123" s="98" t="s">
        <v>609</v>
      </c>
      <c r="J123" s="98" t="s">
        <f>=_xlfn.TEXTJOIN("+",TRUE,_xlfn._xlws.FILTER(_xlfn.TEXTSPLIT(H123,,"+"),(_xlfn.TEXTSPLIT(H123,,"+")&lt;&gt;"埃米工具")*(_xlfn.TEXTSPLIT(H123,,"+")&lt;&gt;"埃米广告通")))</f>
        <v>12</v>
      </c>
      <c r="K123" s="100">
        <f>=EDATE(C123,D123)</f>
        <v>46452</v>
      </c>
      <c r="L123" s="118">
        <v>46097</v>
      </c>
      <c r="M123" s="102" t="s">
        <v>940</v>
      </c>
      <c r="N123" s="101" t="s">
        <v>611</v>
      </c>
      <c r="O123" s="110" t="s">
        <v>941</v>
      </c>
      <c r="P123" s="110" t="s"/>
      <c r="Q123" s="111" t="s"/>
      <c r="R123" s="105" t="s"/>
      <c r="S123" s="105" t="s"/>
      <c r="T123" s="97" t="s"/>
      <c r="U123" s="97" t="s"/>
      <c r="V123" s="97" t="s"/>
      <c r="W123" s="97" t="s"/>
      <c r="X123" s="97" t="s"/>
      <c r="Y123" s="97" t="s"/>
      <c r="Z123" s="98" t="s"/>
      <c r="AA123" s="98" t="s"/>
      <c r="AB123" s="98" t="s"/>
      <c r="AC123" s="98" t="s"/>
      <c r="AD123" s="98" t="s"/>
      <c r="AE123" s="98" t="s"/>
      <c r="AF123" s="98" t="s"/>
      <c r="AG123" s="98" t="s"/>
      <c r="AH123" s="98" t="s"/>
      <c r="AI123" s="98" t="s"/>
      <c r="AJ123" s="98" t="s"/>
      <c r="AK123" s="97" t="s"/>
      <c r="AL123" s="97" t="s"/>
      <c r="AM123" s="97" t="s"/>
    </row>
    <row r="124" spans="1:39" s="256" customFormat="true">
      <c r="A124" s="98">
        <v>123</v>
      </c>
      <c r="B124" s="99" t="s">
        <v>68</v>
      </c>
      <c r="C124" s="132">
        <v>46087.7416782407</v>
      </c>
      <c r="D124" s="148">
        <v>12</v>
      </c>
      <c r="E124" s="118">
        <v>46090</v>
      </c>
      <c r="F124" s="98" t="s">
        <v>234</v>
      </c>
      <c r="G124" s="98" t="s">
        <v>942</v>
      </c>
      <c r="H124" s="101" t="s">
        <v>12</v>
      </c>
      <c r="I124" s="98" t="s">
        <v>646</v>
      </c>
      <c r="J124" s="98" t="s">
        <f>=_xlfn.TEXTJOIN("+",TRUE,_xlfn._xlws.FILTER(_xlfn.TEXTSPLIT(H124,,"+"),(_xlfn.TEXTSPLIT(H124,,"+")&lt;&gt;"埃米工具")*(_xlfn.TEXTSPLIT(H124,,"+")&lt;&gt;"埃米广告通")))</f>
        <v>12</v>
      </c>
      <c r="K124" s="100">
        <f>=EDATE(C124,D124)</f>
        <v>46452</v>
      </c>
      <c r="L124" s="118">
        <v>46090</v>
      </c>
      <c r="M124" s="102" t="s">
        <v>943</v>
      </c>
      <c r="N124" s="101" t="s">
        <v>611</v>
      </c>
      <c r="O124" s="110" t="s">
        <v>944</v>
      </c>
      <c r="P124" s="110" t="s"/>
      <c r="Q124" s="111" t="s"/>
      <c r="R124" s="105" t="s"/>
      <c r="S124" s="105" t="s"/>
      <c r="T124" s="97" t="s"/>
      <c r="U124" s="97" t="s"/>
      <c r="V124" s="97" t="s"/>
      <c r="W124" s="97" t="s"/>
      <c r="X124" s="97" t="s"/>
      <c r="Y124" s="97" t="s"/>
      <c r="Z124" s="98" t="s"/>
      <c r="AA124" s="98" t="s"/>
      <c r="AB124" s="98" t="s"/>
      <c r="AC124" s="98" t="s"/>
      <c r="AD124" s="98" t="s"/>
      <c r="AE124" s="98" t="s"/>
      <c r="AF124" s="98" t="s"/>
      <c r="AG124" s="98" t="s"/>
      <c r="AH124" s="98" t="s"/>
      <c r="AI124" s="98" t="s"/>
      <c r="AJ124" s="98" t="s"/>
      <c r="AK124" s="97" t="s"/>
      <c r="AL124" s="97" t="s"/>
      <c r="AM124" s="97" t="s"/>
    </row>
    <row r="125" spans="1:39" s="256" customFormat="true">
      <c r="A125" s="98">
        <v>124</v>
      </c>
      <c r="B125" s="99" t="s">
        <v>945</v>
      </c>
      <c r="C125" s="132">
        <v>46087.7534490741</v>
      </c>
      <c r="D125" s="148">
        <v>12</v>
      </c>
      <c r="E125" s="118">
        <v>46090</v>
      </c>
      <c r="F125" s="98" t="s">
        <v>224</v>
      </c>
      <c r="G125" s="98" t="s">
        <v>946</v>
      </c>
      <c r="H125" s="101" t="s">
        <v>607</v>
      </c>
      <c r="I125" s="98" t="s">
        <v>609</v>
      </c>
      <c r="J125" s="98" t="s">
        <f>=_xlfn.TEXTJOIN("+",TRUE,_xlfn._xlws.FILTER(_xlfn.TEXTSPLIT(H125,,"+"),(_xlfn.TEXTSPLIT(H125,,"+")&lt;&gt;"埃米工具")*(_xlfn.TEXTSPLIT(H125,,"+")&lt;&gt;"埃米广告通")))</f>
        <v>607</v>
      </c>
      <c r="K125" s="100">
        <f>=EDATE(C125,D125)</f>
        <v>46452</v>
      </c>
      <c r="L125" s="100" t="s"/>
      <c r="M125" s="102" t="s"/>
      <c r="N125" s="101" t="s">
        <v>611</v>
      </c>
      <c r="O125" s="110" t="s">
        <v>748</v>
      </c>
      <c r="P125" s="110" t="s">
        <v>947</v>
      </c>
      <c r="Q125" s="111" t="s"/>
      <c r="R125" s="105" t="s"/>
      <c r="S125" s="105" t="s"/>
      <c r="T125" s="97" t="s"/>
      <c r="U125" s="97" t="s"/>
      <c r="V125" s="97" t="s"/>
      <c r="W125" s="97" t="s"/>
      <c r="X125" s="97" t="s"/>
      <c r="Y125" s="97" t="s"/>
      <c r="Z125" s="98" t="s"/>
      <c r="AA125" s="98" t="s"/>
      <c r="AB125" s="98" t="s"/>
      <c r="AC125" s="98" t="s"/>
      <c r="AD125" s="98" t="s"/>
      <c r="AE125" s="98" t="s"/>
      <c r="AF125" s="98" t="s"/>
      <c r="AG125" s="98" t="s"/>
      <c r="AH125" s="98" t="s"/>
      <c r="AI125" s="98" t="s"/>
      <c r="AJ125" s="98" t="s"/>
      <c r="AK125" s="97" t="s"/>
      <c r="AL125" s="97" t="s"/>
      <c r="AM125" s="97" t="s"/>
    </row>
    <row r="126" spans="1:39" s="256" customFormat="true">
      <c r="A126" s="98">
        <v>125</v>
      </c>
      <c r="B126" s="99" t="s">
        <v>69</v>
      </c>
      <c r="C126" s="132">
        <v>46090.460474537</v>
      </c>
      <c r="D126" s="148">
        <v>12</v>
      </c>
      <c r="E126" s="118">
        <v>46090</v>
      </c>
      <c r="F126" s="98" t="s">
        <v>224</v>
      </c>
      <c r="G126" s="98" t="s">
        <v>948</v>
      </c>
      <c r="H126" s="101" t="s">
        <v>12</v>
      </c>
      <c r="I126" s="98" t="s">
        <v>609</v>
      </c>
      <c r="J126" s="98" t="s">
        <f>=_xlfn.TEXTJOIN("+",TRUE,_xlfn._xlws.FILTER(_xlfn.TEXTSPLIT(H126,,"+"),(_xlfn.TEXTSPLIT(H126,,"+")&lt;&gt;"埃米工具")*(_xlfn.TEXTSPLIT(H126,,"+")&lt;&gt;"埃米广告通")))</f>
        <v>12</v>
      </c>
      <c r="K126" s="100">
        <f>=EDATE(C126,D126)</f>
        <v>46455</v>
      </c>
      <c r="L126" s="118">
        <v>46091</v>
      </c>
      <c r="M126" s="102" t="s">
        <v>610</v>
      </c>
      <c r="N126" s="101" t="s">
        <v>611</v>
      </c>
      <c r="O126" s="110" t="s"/>
      <c r="P126" s="152" t="s">
        <v>949</v>
      </c>
      <c r="Q126" s="111" t="s"/>
      <c r="R126" s="105" t="s"/>
      <c r="S126" s="105" t="s"/>
      <c r="T126" s="97" t="s"/>
      <c r="U126" s="97" t="s"/>
      <c r="V126" s="97" t="s"/>
      <c r="W126" s="97" t="s"/>
      <c r="X126" s="97" t="s"/>
      <c r="Y126" s="97" t="s"/>
      <c r="Z126" s="100" t="s"/>
      <c r="AA126" s="98" t="s"/>
      <c r="AB126" s="98" t="s"/>
      <c r="AC126" s="98" t="s"/>
      <c r="AD126" s="98" t="s"/>
      <c r="AE126" s="98" t="s"/>
      <c r="AF126" s="98" t="s"/>
      <c r="AG126" s="98" t="s"/>
      <c r="AH126" s="98" t="s"/>
      <c r="AI126" s="98" t="s"/>
      <c r="AJ126" s="98" t="s"/>
      <c r="AK126" s="97" t="s"/>
      <c r="AL126" s="97" t="s"/>
      <c r="AM126" s="97" t="s"/>
    </row>
    <row r="127" spans="1:39" s="256" customFormat="true">
      <c r="A127" s="98">
        <v>126</v>
      </c>
      <c r="B127" s="99" t="s">
        <v>70</v>
      </c>
      <c r="C127" s="132">
        <v>46090.5779976852</v>
      </c>
      <c r="D127" s="148">
        <v>12</v>
      </c>
      <c r="E127" s="118">
        <v>46090</v>
      </c>
      <c r="F127" s="98" t="s">
        <v>236</v>
      </c>
      <c r="G127" s="98" t="s">
        <v>950</v>
      </c>
      <c r="H127" s="101" t="s">
        <v>12</v>
      </c>
      <c r="I127" s="98" t="s">
        <v>609</v>
      </c>
      <c r="J127" s="98" t="s">
        <f>=_xlfn.TEXTJOIN("+",TRUE,_xlfn._xlws.FILTER(_xlfn.TEXTSPLIT(H127,,"+"),(_xlfn.TEXTSPLIT(H127,,"+")&lt;&gt;"埃米工具")*(_xlfn.TEXTSPLIT(H127,,"+")&lt;&gt;"埃米广告通")))</f>
        <v>12</v>
      </c>
      <c r="K127" s="100">
        <f>=EDATE(C127,D127)</f>
        <v>46455</v>
      </c>
      <c r="L127" s="118">
        <v>46093</v>
      </c>
      <c r="M127" s="102" t="s">
        <v>610</v>
      </c>
      <c r="N127" s="101" t="s">
        <v>611</v>
      </c>
      <c r="O127" s="110" t="s">
        <v>951</v>
      </c>
      <c r="P127" s="110" t="s"/>
      <c r="Q127" s="111" t="s"/>
      <c r="R127" s="105" t="s"/>
      <c r="S127" s="105" t="s"/>
      <c r="T127" s="97" t="s"/>
      <c r="U127" s="97" t="s"/>
      <c r="V127" s="97" t="s"/>
      <c r="W127" s="97" t="s"/>
      <c r="X127" s="97" t="s"/>
      <c r="Y127" s="97" t="s"/>
      <c r="Z127" s="98" t="s"/>
      <c r="AA127" s="98" t="s"/>
      <c r="AB127" s="98" t="s"/>
      <c r="AC127" s="98" t="s"/>
      <c r="AD127" s="98" t="s"/>
      <c r="AE127" s="98" t="s"/>
      <c r="AF127" s="98" t="s"/>
      <c r="AG127" s="98" t="s"/>
      <c r="AH127" s="98" t="s"/>
      <c r="AI127" s="98" t="s"/>
      <c r="AJ127" s="98" t="s"/>
      <c r="AK127" s="97" t="s"/>
      <c r="AL127" s="97" t="s"/>
      <c r="AM127" s="97" t="s"/>
    </row>
    <row r="128" spans="1:39" s="426" customFormat="true">
      <c r="A128" s="98">
        <v>127</v>
      </c>
      <c r="B128" s="99" t="s">
        <v>71</v>
      </c>
      <c r="C128" s="132">
        <v>46090.5944560185</v>
      </c>
      <c r="D128" s="148">
        <v>12</v>
      </c>
      <c r="E128" s="118">
        <v>46090</v>
      </c>
      <c r="F128" s="98" t="s">
        <v>215</v>
      </c>
      <c r="G128" s="98" t="s">
        <v>952</v>
      </c>
      <c r="H128" s="101" t="s">
        <v>12</v>
      </c>
      <c r="I128" s="98" t="s">
        <v>609</v>
      </c>
      <c r="J128" s="98" t="s">
        <f>=_xlfn.TEXTJOIN("+",TRUE,_xlfn._xlws.FILTER(_xlfn.TEXTSPLIT(H128,,"+"),(_xlfn.TEXTSPLIT(H128,,"+")&lt;&gt;"埃米工具")*(_xlfn.TEXTSPLIT(H128,,"+")&lt;&gt;"埃米广告通")))</f>
        <v>12</v>
      </c>
      <c r="K128" s="100">
        <f>=EDATE(C128,D128)</f>
        <v>46455</v>
      </c>
      <c r="L128" s="118">
        <v>46091</v>
      </c>
      <c r="M128" s="153" t="s">
        <v>953</v>
      </c>
      <c r="N128" s="101" t="s">
        <v>611</v>
      </c>
      <c r="O128" s="126" t="s">
        <v>648</v>
      </c>
      <c r="P128" s="110" t="s"/>
      <c r="Q128" s="111" t="s"/>
      <c r="R128" s="105" t="s"/>
      <c r="S128" s="105" t="s"/>
      <c r="T128" s="97" t="s"/>
      <c r="U128" s="97" t="s"/>
      <c r="V128" s="97" t="s"/>
      <c r="W128" s="97" t="s"/>
      <c r="X128" s="97" t="s"/>
      <c r="Y128" s="97" t="s"/>
      <c r="Z128" s="98" t="s"/>
      <c r="AA128" s="98" t="s"/>
      <c r="AB128" s="98" t="s"/>
      <c r="AC128" s="98" t="s"/>
      <c r="AD128" s="98" t="s"/>
      <c r="AE128" s="98" t="s"/>
      <c r="AF128" s="98" t="s"/>
      <c r="AG128" s="98" t="s"/>
      <c r="AH128" s="98" t="s"/>
      <c r="AI128" s="98" t="s"/>
      <c r="AJ128" s="98" t="s"/>
      <c r="AK128" s="97" t="s"/>
      <c r="AL128" s="97" t="s"/>
      <c r="AM128" s="97" t="s"/>
    </row>
    <row r="129" spans="1:39" s="426" customFormat="true">
      <c r="A129" s="98">
        <v>128</v>
      </c>
      <c r="B129" s="99" t="s">
        <v>954</v>
      </c>
      <c r="C129" s="132">
        <v>46090.6014583333</v>
      </c>
      <c r="D129" s="148">
        <v>12</v>
      </c>
      <c r="E129" s="118">
        <v>46090</v>
      </c>
      <c r="F129" s="98" t="s">
        <v>224</v>
      </c>
      <c r="G129" s="98" t="s">
        <v>955</v>
      </c>
      <c r="H129" s="101" t="s">
        <v>607</v>
      </c>
      <c r="I129" s="98" t="s">
        <v>609</v>
      </c>
      <c r="J129" s="98" t="s">
        <f>=_xlfn.TEXTJOIN("+",TRUE,_xlfn._xlws.FILTER(_xlfn.TEXTSPLIT(H129,,"+"),(_xlfn.TEXTSPLIT(H129,,"+")&lt;&gt;"埃米工具")*(_xlfn.TEXTSPLIT(H129,,"+")&lt;&gt;"埃米广告通")))</f>
        <v>607</v>
      </c>
      <c r="K129" s="100">
        <f>=EDATE(C129,D129)</f>
        <v>46455</v>
      </c>
      <c r="L129" s="100" t="s"/>
      <c r="M129" s="102" t="s"/>
      <c r="N129" s="101" t="s">
        <v>611</v>
      </c>
      <c r="O129" s="110" t="s">
        <v>748</v>
      </c>
      <c r="P129" s="110" t="s"/>
      <c r="Q129" s="111" t="s"/>
      <c r="R129" s="105" t="s"/>
      <c r="S129" s="105" t="s"/>
      <c r="T129" s="97" t="s"/>
      <c r="U129" s="97" t="s"/>
      <c r="V129" s="97" t="s"/>
      <c r="W129" s="97" t="s"/>
      <c r="X129" s="97" t="s"/>
      <c r="Y129" s="97" t="s"/>
      <c r="Z129" s="98" t="s"/>
      <c r="AA129" s="98" t="s"/>
      <c r="AB129" s="98" t="s"/>
      <c r="AC129" s="98" t="s"/>
      <c r="AD129" s="98" t="s"/>
      <c r="AE129" s="98" t="s"/>
      <c r="AF129" s="98" t="s"/>
      <c r="AG129" s="98" t="s"/>
      <c r="AH129" s="98" t="s"/>
      <c r="AI129" s="98" t="s"/>
      <c r="AJ129" s="98" t="s"/>
      <c r="AK129" s="97" t="s"/>
      <c r="AL129" s="97" t="s"/>
      <c r="AM129" s="97" t="s"/>
    </row>
    <row r="130" spans="1:39" s="426" customFormat="true">
      <c r="A130" s="98">
        <v>129</v>
      </c>
      <c r="B130" s="99" t="s">
        <v>72</v>
      </c>
      <c r="C130" s="132">
        <v>46091.4295023148</v>
      </c>
      <c r="D130" s="148">
        <v>12</v>
      </c>
      <c r="E130" s="118">
        <v>46091</v>
      </c>
      <c r="F130" s="98" t="s">
        <v>224</v>
      </c>
      <c r="G130" s="98" t="s">
        <v>956</v>
      </c>
      <c r="H130" s="101" t="s">
        <v>12</v>
      </c>
      <c r="I130" s="98" t="s">
        <v>646</v>
      </c>
      <c r="J130" s="98" t="s">
        <f>=_xlfn.TEXTJOIN("+",TRUE,_xlfn._xlws.FILTER(_xlfn.TEXTSPLIT(H130,,"+"),(_xlfn.TEXTSPLIT(H130,,"+")&lt;&gt;"埃米工具")*(_xlfn.TEXTSPLIT(H130,,"+")&lt;&gt;"埃米广告通")))</f>
        <v>12</v>
      </c>
      <c r="K130" s="100">
        <f>=EDATE(C130,D130)</f>
        <v>46456</v>
      </c>
      <c r="L130" s="118">
        <v>46091</v>
      </c>
      <c r="M130" s="102" t="s">
        <v>957</v>
      </c>
      <c r="N130" s="101" t="s">
        <v>611</v>
      </c>
      <c r="O130" s="110" t="s">
        <v>703</v>
      </c>
      <c r="P130" s="110" t="s"/>
      <c r="Q130" s="111" t="s"/>
      <c r="R130" s="105" t="s"/>
      <c r="S130" s="105" t="s"/>
      <c r="T130" s="97" t="s"/>
      <c r="U130" s="97" t="s"/>
      <c r="V130" s="97" t="s"/>
      <c r="W130" s="97" t="s"/>
      <c r="X130" s="97" t="s"/>
      <c r="Y130" s="97" t="s"/>
      <c r="Z130" s="98" t="s"/>
      <c r="AA130" s="98" t="s"/>
      <c r="AB130" s="98" t="s"/>
      <c r="AC130" s="98" t="s"/>
      <c r="AD130" s="98" t="s"/>
      <c r="AE130" s="98" t="s"/>
      <c r="AF130" s="98" t="s"/>
      <c r="AG130" s="98" t="s"/>
      <c r="AH130" s="98" t="s"/>
      <c r="AI130" s="98" t="s"/>
      <c r="AJ130" s="98" t="s"/>
      <c r="AK130" s="97" t="s"/>
      <c r="AL130" s="97" t="s"/>
      <c r="AM130" s="97" t="s"/>
    </row>
    <row r="131" spans="1:36">
      <c r="A131" s="98">
        <v>130</v>
      </c>
      <c r="B131" s="99" t="s">
        <v>289</v>
      </c>
      <c r="C131" s="132">
        <v>46091.4349189815</v>
      </c>
      <c r="D131" s="148">
        <v>12</v>
      </c>
      <c r="E131" s="118">
        <v>46091</v>
      </c>
      <c r="F131" s="98" t="s">
        <v>215</v>
      </c>
      <c r="G131" s="98" t="s">
        <v>958</v>
      </c>
      <c r="H131" s="101" t="s">
        <v>607</v>
      </c>
      <c r="I131" s="98" t="s">
        <v>726</v>
      </c>
      <c r="J131" s="98" t="s">
        <f>=_xlfn.TEXTJOIN("+",TRUE,_xlfn._xlws.FILTER(_xlfn.TEXTSPLIT(H131,,"+"),(_xlfn.TEXTSPLIT(H131,,"+")&lt;&gt;"埃米工具")*(_xlfn.TEXTSPLIT(H131,,"+")&lt;&gt;"埃米广告通")))</f>
        <v>607</v>
      </c>
      <c r="K131" s="100">
        <f>=EDATE(C131,D131)</f>
        <v>46456</v>
      </c>
      <c r="L131" s="100" t="s"/>
      <c r="M131" s="102" t="s"/>
      <c r="N131" s="101" t="s">
        <v>611</v>
      </c>
      <c r="O131" s="110" t="s">
        <v>790</v>
      </c>
      <c r="P131" s="110" t="s"/>
      <c r="Q131" s="111" t="s"/>
      <c r="R131" s="105" t="s"/>
      <c r="S131" s="106" t="s"/>
      <c r="T131" s="98" t="s"/>
      <c r="U131" s="97" t="s"/>
      <c r="V131" s="97" t="s"/>
      <c r="W131" s="97" t="s"/>
      <c r="X131" s="97" t="s"/>
      <c r="Y131" s="97" t="s"/>
      <c r="Z131" s="98" t="s"/>
      <c r="AA131" s="98" t="s"/>
      <c r="AB131" s="98" t="s"/>
      <c r="AC131" s="98" t="s"/>
      <c r="AD131" s="98" t="s"/>
      <c r="AE131" s="98" t="s"/>
      <c r="AF131" s="98" t="s"/>
      <c r="AG131" s="98" t="s"/>
      <c r="AH131" s="98" t="s"/>
      <c r="AI131" s="98" t="s"/>
      <c r="AJ131" s="98" t="s"/>
    </row>
    <row r="132" spans="1:39" s="428" customFormat="true">
      <c r="A132" s="98">
        <v>131</v>
      </c>
      <c r="B132" s="99" t="s">
        <v>73</v>
      </c>
      <c r="C132" s="132">
        <v>46090.6989467593</v>
      </c>
      <c r="D132" s="148">
        <v>12</v>
      </c>
      <c r="E132" s="118">
        <v>46091</v>
      </c>
      <c r="F132" s="98" t="s">
        <v>224</v>
      </c>
      <c r="G132" s="98" t="s">
        <v>959</v>
      </c>
      <c r="H132" s="101" t="s">
        <v>12</v>
      </c>
      <c r="I132" s="98" t="s">
        <v>609</v>
      </c>
      <c r="J132" s="98" t="s">
        <f>=_xlfn.TEXTJOIN("+",TRUE,_xlfn._xlws.FILTER(_xlfn.TEXTSPLIT(H132,,"+"),(_xlfn.TEXTSPLIT(H132,,"+")&lt;&gt;"埃米工具")*(_xlfn.TEXTSPLIT(H132,,"+")&lt;&gt;"埃米广告通")))</f>
        <v>12</v>
      </c>
      <c r="K132" s="100">
        <f>=EDATE(C132,D132)</f>
        <v>46455</v>
      </c>
      <c r="L132" s="118">
        <v>46092</v>
      </c>
      <c r="M132" s="102" t="s">
        <v>610</v>
      </c>
      <c r="N132" s="101" t="s">
        <v>611</v>
      </c>
      <c r="O132" s="103" t="s">
        <v>703</v>
      </c>
      <c r="P132" s="103" t="s"/>
      <c r="Q132" s="111" t="s"/>
      <c r="R132" s="105" t="s"/>
      <c r="S132" s="106" t="s"/>
      <c r="T132" s="98" t="s"/>
      <c r="U132" s="98" t="s"/>
      <c r="V132" s="97" t="s"/>
      <c r="W132" s="97" t="s"/>
      <c r="X132" s="97" t="s"/>
      <c r="Y132" s="97" t="s"/>
      <c r="Z132" s="98" t="s"/>
      <c r="AA132" s="98" t="s"/>
      <c r="AB132" s="98" t="s"/>
      <c r="AC132" s="98" t="s"/>
      <c r="AD132" s="98" t="s"/>
      <c r="AE132" s="98" t="s"/>
      <c r="AF132" s="98" t="s"/>
      <c r="AG132" s="98" t="s"/>
      <c r="AH132" s="98" t="s"/>
      <c r="AI132" s="98" t="s"/>
      <c r="AJ132" s="98" t="s"/>
      <c r="AK132" s="98" t="s"/>
      <c r="AL132" s="98" t="s"/>
      <c r="AM132" s="98" t="s"/>
    </row>
    <row r="133" spans="1:39" s="429" customFormat="true">
      <c r="A133" s="98">
        <v>132</v>
      </c>
      <c r="B133" s="99" t="s">
        <v>74</v>
      </c>
      <c r="C133" s="132">
        <v>46091.5026157408</v>
      </c>
      <c r="D133" s="148">
        <v>12</v>
      </c>
      <c r="E133" s="118">
        <v>46091</v>
      </c>
      <c r="F133" s="98" t="s">
        <v>224</v>
      </c>
      <c r="G133" s="98" t="s">
        <v>960</v>
      </c>
      <c r="H133" s="101" t="s">
        <v>12</v>
      </c>
      <c r="I133" s="98" t="s">
        <v>646</v>
      </c>
      <c r="J133" s="98" t="s">
        <f>=_xlfn.TEXTJOIN("+",TRUE,_xlfn._xlws.FILTER(_xlfn.TEXTSPLIT(H133,,"+"),(_xlfn.TEXTSPLIT(H133,,"+")&lt;&gt;"埃米工具")*(_xlfn.TEXTSPLIT(H133,,"+")&lt;&gt;"埃米广告通")))</f>
        <v>12</v>
      </c>
      <c r="K133" s="100">
        <f>=EDATE(C133,D133)</f>
        <v>46456</v>
      </c>
      <c r="L133" s="100">
        <v>46092</v>
      </c>
      <c r="M133" s="102" t="s">
        <v>610</v>
      </c>
      <c r="N133" s="101" t="s">
        <v>611</v>
      </c>
      <c r="O133" s="110" t="s">
        <v>961</v>
      </c>
      <c r="P133" s="103" t="s"/>
      <c r="Q133" s="104" t="s">
        <v>845</v>
      </c>
      <c r="R133" s="142" t="s"/>
      <c r="S133" s="97" t="s"/>
      <c r="T133" s="97" t="s"/>
      <c r="U133" s="97" t="s"/>
      <c r="V133" s="97" t="s"/>
      <c r="W133" s="97" t="s"/>
      <c r="X133" s="97" t="s"/>
      <c r="Y133" s="97" t="s"/>
      <c r="Z133" s="98" t="s"/>
      <c r="AA133" s="98" t="s"/>
      <c r="AB133" s="98" t="s"/>
      <c r="AC133" s="98" t="s"/>
      <c r="AD133" s="98" t="s"/>
      <c r="AE133" s="98" t="s"/>
      <c r="AF133" s="98" t="s"/>
      <c r="AG133" s="98" t="s"/>
      <c r="AH133" s="98" t="s"/>
      <c r="AI133" s="98" t="s"/>
      <c r="AJ133" s="98" t="s"/>
      <c r="AK133" s="97" t="s"/>
      <c r="AL133" s="97" t="s"/>
      <c r="AM133" s="97" t="s"/>
    </row>
    <row r="134" spans="1:39" s="429" customFormat="true">
      <c r="A134" s="98">
        <v>133</v>
      </c>
      <c r="B134" s="99" t="s">
        <v>75</v>
      </c>
      <c r="C134" s="132">
        <v>46091.4512962962</v>
      </c>
      <c r="D134" s="148">
        <v>12</v>
      </c>
      <c r="E134" s="118">
        <v>46091</v>
      </c>
      <c r="F134" s="98" t="s">
        <v>236</v>
      </c>
      <c r="G134" s="98" t="s">
        <v>962</v>
      </c>
      <c r="H134" s="101" t="s">
        <v>12</v>
      </c>
      <c r="I134" s="98" t="s">
        <v>609</v>
      </c>
      <c r="J134" s="98" t="s">
        <f>=_xlfn.TEXTJOIN("+",TRUE,_xlfn._xlws.FILTER(_xlfn.TEXTSPLIT(H134,,"+"),(_xlfn.TEXTSPLIT(H134,,"+")&lt;&gt;"埃米工具")*(_xlfn.TEXTSPLIT(H134,,"+")&lt;&gt;"埃米广告通")))</f>
        <v>12</v>
      </c>
      <c r="K134" s="100">
        <f>=EDATE(C134,D134)</f>
        <v>46456</v>
      </c>
      <c r="L134" s="118">
        <v>46101</v>
      </c>
      <c r="M134" s="102" t="s">
        <v>610</v>
      </c>
      <c r="N134" s="101" t="s">
        <v>611</v>
      </c>
      <c r="O134" s="97" t="s">
        <v>963</v>
      </c>
      <c r="P134" s="98" t="s"/>
      <c r="Q134" s="111" t="s"/>
      <c r="R134" s="105" t="s"/>
      <c r="S134" s="105" t="s"/>
      <c r="T134" s="97" t="s"/>
      <c r="U134" s="97" t="s"/>
      <c r="V134" s="97" t="s"/>
      <c r="W134" s="146" t="s"/>
      <c r="X134" s="97" t="s"/>
      <c r="Y134" s="97" t="s"/>
      <c r="Z134" s="98" t="s"/>
      <c r="AA134" s="98" t="s"/>
      <c r="AB134" s="98" t="s"/>
      <c r="AC134" s="98" t="s"/>
      <c r="AD134" s="98" t="s"/>
      <c r="AE134" s="98" t="s"/>
      <c r="AF134" s="98" t="s"/>
      <c r="AG134" s="98" t="s"/>
      <c r="AH134" s="98" t="s"/>
      <c r="AI134" s="98" t="s"/>
      <c r="AJ134" s="98" t="s"/>
      <c r="AK134" s="97" t="s"/>
      <c r="AL134" s="97" t="s"/>
      <c r="AM134" s="97" t="s"/>
    </row>
    <row r="135" spans="1:39" s="429" customFormat="true">
      <c r="A135" s="98">
        <v>134</v>
      </c>
      <c r="B135" s="99" t="s">
        <v>965</v>
      </c>
      <c r="C135" s="132">
        <v>46091.5970370371</v>
      </c>
      <c r="D135" s="148">
        <v>12</v>
      </c>
      <c r="E135" s="118">
        <v>46091</v>
      </c>
      <c r="F135" s="98" t="s">
        <v>224</v>
      </c>
      <c r="G135" s="154" t="s">
        <v>966</v>
      </c>
      <c r="H135" s="101" t="s">
        <v>607</v>
      </c>
      <c r="I135" s="98" t="s">
        <v>646</v>
      </c>
      <c r="J135" s="98" t="s">
        <f>=_xlfn.TEXTJOIN("+",TRUE,_xlfn._xlws.FILTER(_xlfn.TEXTSPLIT(H135,,"+"),(_xlfn.TEXTSPLIT(H135,,"+")&lt;&gt;"埃米工具")*(_xlfn.TEXTSPLIT(H135,,"+")&lt;&gt;"埃米广告通")))</f>
        <v>607</v>
      </c>
      <c r="K135" s="100">
        <f>=EDATE(C135,D135)</f>
        <v>46456</v>
      </c>
      <c r="L135" s="100" t="s"/>
      <c r="M135" s="102" t="s"/>
      <c r="N135" s="101" t="s">
        <v>611</v>
      </c>
      <c r="O135" s="110" t="s">
        <v>930</v>
      </c>
      <c r="P135" s="103" t="s"/>
      <c r="Q135" s="111" t="s"/>
      <c r="R135" s="105" t="s"/>
      <c r="S135" s="105" t="s"/>
      <c r="T135" s="97" t="s"/>
      <c r="U135" s="97" t="s"/>
      <c r="V135" s="97" t="s"/>
      <c r="W135" s="97" t="s"/>
      <c r="X135" s="97" t="s"/>
      <c r="Y135" s="97" t="s"/>
      <c r="Z135" s="98" t="s"/>
      <c r="AA135" s="98" t="s"/>
      <c r="AB135" s="98" t="s"/>
      <c r="AC135" s="98" t="s"/>
      <c r="AD135" s="98" t="s"/>
      <c r="AE135" s="98" t="s"/>
      <c r="AF135" s="98" t="s"/>
      <c r="AG135" s="98" t="s"/>
      <c r="AH135" s="98" t="s"/>
      <c r="AI135" s="98" t="s"/>
      <c r="AJ135" s="98" t="s"/>
      <c r="AK135" s="97" t="s"/>
      <c r="AL135" s="97" t="s"/>
      <c r="AM135" s="97" t="s"/>
    </row>
    <row r="136" spans="1:39" s="256" customFormat="true">
      <c r="A136" s="98">
        <v>135</v>
      </c>
      <c r="B136" s="99" t="s">
        <v>76</v>
      </c>
      <c r="C136" s="132">
        <v>46091.6817476852</v>
      </c>
      <c r="D136" s="148">
        <v>12</v>
      </c>
      <c r="E136" s="118">
        <v>46091</v>
      </c>
      <c r="F136" s="112" t="s">
        <v>234</v>
      </c>
      <c r="G136" s="99" t="s">
        <v>967</v>
      </c>
      <c r="H136" s="101" t="s">
        <v>12</v>
      </c>
      <c r="I136" s="99" t="s">
        <v>609</v>
      </c>
      <c r="J136" s="98" t="s">
        <f>=_xlfn.TEXTJOIN("+",TRUE,_xlfn._xlws.FILTER(_xlfn.TEXTSPLIT(H136,,"+"),(_xlfn.TEXTSPLIT(H136,,"+")&lt;&gt;"埃米工具")*(_xlfn.TEXTSPLIT(H136,,"+")&lt;&gt;"埃米广告通")))</f>
        <v>12</v>
      </c>
      <c r="K136" s="100">
        <f>=EDATE(C136,D136)</f>
        <v>46456</v>
      </c>
      <c r="L136" s="118">
        <v>46097</v>
      </c>
      <c r="M136" s="102" t="s">
        <v>968</v>
      </c>
      <c r="N136" s="101" t="s">
        <v>611</v>
      </c>
      <c r="O136" s="110" t="s">
        <v>969</v>
      </c>
      <c r="P136" s="103" t="s"/>
      <c r="Q136" s="111" t="s"/>
      <c r="R136" s="105" t="s"/>
      <c r="S136" s="105" t="s"/>
      <c r="T136" s="97" t="s"/>
      <c r="U136" s="97" t="s"/>
      <c r="V136" s="97" t="s"/>
      <c r="W136" s="97" t="s"/>
      <c r="X136" s="97" t="s"/>
      <c r="Y136" s="97" t="s"/>
      <c r="Z136" s="98" t="s"/>
      <c r="AA136" s="98" t="s"/>
      <c r="AB136" s="98" t="s"/>
      <c r="AC136" s="98" t="s"/>
      <c r="AD136" s="98" t="s"/>
      <c r="AE136" s="98" t="s"/>
      <c r="AF136" s="98" t="s"/>
      <c r="AG136" s="98" t="s"/>
      <c r="AH136" s="98" t="s"/>
      <c r="AI136" s="98" t="s"/>
      <c r="AJ136" s="98" t="s"/>
      <c r="AK136" s="97" t="s"/>
      <c r="AL136" s="97" t="s"/>
      <c r="AM136" s="97" t="s"/>
    </row>
    <row r="137" spans="1:39" s="256" customFormat="true">
      <c r="A137" s="98">
        <v>136</v>
      </c>
      <c r="B137" s="99" t="s">
        <v>970</v>
      </c>
      <c r="C137" s="132">
        <v>46091.6919097222</v>
      </c>
      <c r="D137" s="148">
        <v>12</v>
      </c>
      <c r="E137" s="118">
        <v>46091</v>
      </c>
      <c r="F137" s="98" t="s">
        <v>224</v>
      </c>
      <c r="G137" s="99" t="s">
        <v>971</v>
      </c>
      <c r="H137" s="101" t="s">
        <v>607</v>
      </c>
      <c r="I137" s="99" t="s">
        <v>609</v>
      </c>
      <c r="J137" s="98" t="s">
        <f>=_xlfn.TEXTJOIN("+",TRUE,_xlfn._xlws.FILTER(_xlfn.TEXTSPLIT(H137,,"+"),(_xlfn.TEXTSPLIT(H137,,"+")&lt;&gt;"埃米工具")*(_xlfn.TEXTSPLIT(H137,,"+")&lt;&gt;"埃米广告通")))</f>
        <v>607</v>
      </c>
      <c r="K137" s="100">
        <f>=EDATE(C137,D137)</f>
        <v>46456</v>
      </c>
      <c r="L137" s="100" t="s"/>
      <c r="M137" s="102" t="s"/>
      <c r="N137" s="101" t="s">
        <v>611</v>
      </c>
      <c r="O137" s="110" t="s">
        <v>930</v>
      </c>
      <c r="P137" s="103" t="s"/>
      <c r="Q137" s="111" t="s"/>
      <c r="R137" s="105" t="s"/>
      <c r="S137" s="105" t="s"/>
      <c r="T137" s="97" t="s"/>
      <c r="U137" s="97" t="s"/>
      <c r="V137" s="97" t="s"/>
      <c r="W137" s="97" t="s"/>
      <c r="X137" s="97" t="s"/>
      <c r="Y137" s="97" t="s"/>
      <c r="Z137" s="98" t="s"/>
      <c r="AA137" s="98" t="s"/>
      <c r="AB137" s="98" t="s"/>
      <c r="AC137" s="98" t="s"/>
      <c r="AD137" s="98" t="s"/>
      <c r="AE137" s="98" t="s"/>
      <c r="AF137" s="98" t="s"/>
      <c r="AG137" s="98" t="s"/>
      <c r="AH137" s="98" t="s"/>
      <c r="AI137" s="98" t="s"/>
      <c r="AJ137" s="98" t="s"/>
      <c r="AK137" s="97" t="s"/>
      <c r="AL137" s="97" t="s"/>
      <c r="AM137" s="97" t="s"/>
    </row>
    <row r="138" spans="1:39" s="256" customFormat="true">
      <c r="A138" s="98">
        <v>137</v>
      </c>
      <c r="B138" s="99" t="s">
        <v>972</v>
      </c>
      <c r="C138" s="132">
        <v>46091.7796643519</v>
      </c>
      <c r="D138" s="148">
        <v>12</v>
      </c>
      <c r="E138" s="118">
        <v>46092</v>
      </c>
      <c r="F138" s="98" t="s">
        <v>224</v>
      </c>
      <c r="G138" s="154" t="s">
        <v>973</v>
      </c>
      <c r="H138" s="101" t="s">
        <v>607</v>
      </c>
      <c r="I138" s="98" t="s">
        <v>609</v>
      </c>
      <c r="J138" s="98" t="s">
        <f>=_xlfn.TEXTJOIN("+",TRUE,_xlfn._xlws.FILTER(_xlfn.TEXTSPLIT(H138,,"+"),(_xlfn.TEXTSPLIT(H138,,"+")&lt;&gt;"埃米工具")*(_xlfn.TEXTSPLIT(H138,,"+")&lt;&gt;"埃米广告通")))</f>
        <v>607</v>
      </c>
      <c r="K138" s="100">
        <f>=EDATE(C138,D138)</f>
        <v>46456</v>
      </c>
      <c r="L138" s="100" t="s"/>
      <c r="M138" s="102" t="s"/>
      <c r="N138" s="101" t="s">
        <v>611</v>
      </c>
      <c r="O138" s="110" t="s">
        <v>930</v>
      </c>
      <c r="P138" s="103" t="s"/>
      <c r="Q138" s="111" t="s"/>
      <c r="R138" s="105" t="s"/>
      <c r="S138" s="105" t="s"/>
      <c r="T138" s="97" t="s"/>
      <c r="U138" s="97" t="s"/>
      <c r="V138" s="97" t="s"/>
      <c r="W138" s="97" t="s"/>
      <c r="X138" s="97" t="s"/>
      <c r="Y138" s="97" t="s"/>
      <c r="Z138" s="98" t="s"/>
      <c r="AA138" s="98" t="s"/>
      <c r="AB138" s="98" t="s"/>
      <c r="AC138" s="98" t="s"/>
      <c r="AD138" s="98" t="s"/>
      <c r="AE138" s="98" t="s"/>
      <c r="AF138" s="98" t="s"/>
      <c r="AG138" s="98" t="s"/>
      <c r="AH138" s="98" t="s"/>
      <c r="AI138" s="98" t="s"/>
      <c r="AJ138" s="98" t="s"/>
      <c r="AK138" s="97" t="s"/>
      <c r="AL138" s="97" t="s"/>
      <c r="AM138" s="97" t="s"/>
    </row>
    <row r="139" spans="1:39" s="430" customFormat="true">
      <c r="A139" s="98">
        <v>138</v>
      </c>
      <c r="B139" s="99" t="s">
        <v>78</v>
      </c>
      <c r="C139" s="132">
        <v>46092.4177430556</v>
      </c>
      <c r="D139" s="148">
        <v>12</v>
      </c>
      <c r="E139" s="118">
        <v>46092</v>
      </c>
      <c r="F139" s="98" t="s">
        <v>234</v>
      </c>
      <c r="G139" s="103" t="s">
        <v>974</v>
      </c>
      <c r="H139" s="101" t="s">
        <v>12</v>
      </c>
      <c r="I139" s="98" t="s">
        <v>609</v>
      </c>
      <c r="J139" s="98" t="s">
        <f>=_xlfn.TEXTJOIN("+",TRUE,_xlfn._xlws.FILTER(_xlfn.TEXTSPLIT(H139,,"+"),(_xlfn.TEXTSPLIT(H139,,"+")&lt;&gt;"埃米工具")*(_xlfn.TEXTSPLIT(H139,,"+")&lt;&gt;"埃米广告通")))</f>
        <v>12</v>
      </c>
      <c r="K139" s="100">
        <f>=EDATE(C139,D139)</f>
        <v>46457</v>
      </c>
      <c r="L139" s="118">
        <v>46112</v>
      </c>
      <c r="M139" s="102" t="s">
        <v>610</v>
      </c>
      <c r="N139" s="101" t="s">
        <v>611</v>
      </c>
      <c r="O139" s="110" t="s">
        <v>975</v>
      </c>
      <c r="P139" s="103" t="s"/>
      <c r="Q139" s="111" t="s"/>
      <c r="R139" s="105" t="s"/>
      <c r="S139" s="105" t="s"/>
      <c r="T139" s="97" t="s"/>
      <c r="U139" s="97" t="s"/>
      <c r="V139" s="97" t="s"/>
      <c r="W139" s="97" t="s"/>
      <c r="X139" s="97" t="s"/>
      <c r="Y139" s="97" t="s"/>
      <c r="Z139" s="98" t="s"/>
      <c r="AA139" s="98" t="s"/>
      <c r="AB139" s="98" t="s"/>
      <c r="AC139" s="98" t="s"/>
      <c r="AD139" s="98" t="s"/>
      <c r="AE139" s="98" t="s"/>
      <c r="AF139" s="98" t="s"/>
      <c r="AG139" s="98" t="s"/>
      <c r="AH139" s="98" t="s"/>
      <c r="AI139" s="98" t="s"/>
      <c r="AJ139" s="98" t="s"/>
      <c r="AK139" s="98" t="s"/>
      <c r="AL139" s="98" t="s"/>
      <c r="AM139" s="98" t="s"/>
    </row>
    <row r="140" spans="1:39" s="426" customFormat="true">
      <c r="A140" s="98">
        <v>139</v>
      </c>
      <c r="B140" s="99" t="s">
        <v>79</v>
      </c>
      <c r="C140" s="132">
        <v>46092.4545949074</v>
      </c>
      <c r="D140" s="148">
        <v>12</v>
      </c>
      <c r="E140" s="118">
        <v>46092</v>
      </c>
      <c r="F140" s="98" t="s">
        <v>236</v>
      </c>
      <c r="G140" s="154" t="s">
        <v>976</v>
      </c>
      <c r="H140" s="101" t="s">
        <v>12</v>
      </c>
      <c r="I140" s="98" t="s">
        <v>609</v>
      </c>
      <c r="J140" s="98" t="s">
        <f>=_xlfn.TEXTJOIN("+",TRUE,_xlfn._xlws.FILTER(_xlfn.TEXTSPLIT(H140,,"+"),(_xlfn.TEXTSPLIT(H140,,"+")&lt;&gt;"埃米工具")*(_xlfn.TEXTSPLIT(H140,,"+")&lt;&gt;"埃米广告通")))</f>
        <v>12</v>
      </c>
      <c r="K140" s="100">
        <f>=EDATE(C140,D140)</f>
        <v>46457</v>
      </c>
      <c r="L140" s="118">
        <v>46097</v>
      </c>
      <c r="M140" s="102" t="s">
        <v>610</v>
      </c>
      <c r="N140" s="101" t="s">
        <v>611</v>
      </c>
      <c r="O140" s="110" t="s"/>
      <c r="P140" s="103" t="s"/>
      <c r="Q140" s="111" t="s"/>
      <c r="R140" s="105" t="s"/>
      <c r="S140" s="105" t="s"/>
      <c r="T140" s="97" t="s"/>
      <c r="U140" s="97" t="s"/>
      <c r="V140" s="97" t="s"/>
      <c r="W140" s="97" t="s"/>
      <c r="X140" s="97" t="s"/>
      <c r="Y140" s="97" t="s"/>
      <c r="Z140" s="100" t="s"/>
      <c r="AA140" s="98" t="s"/>
      <c r="AB140" s="98" t="s"/>
      <c r="AC140" s="98" t="s"/>
      <c r="AD140" s="98" t="s"/>
      <c r="AE140" s="98" t="s"/>
      <c r="AF140" s="98" t="s"/>
      <c r="AG140" s="98" t="s"/>
      <c r="AH140" s="98" t="s"/>
      <c r="AI140" s="98" t="s"/>
      <c r="AJ140" s="98" t="s"/>
      <c r="AK140" s="97" t="s"/>
      <c r="AL140" s="97" t="s"/>
      <c r="AM140" s="97" t="s"/>
    </row>
    <row r="141" spans="1:39" s="256" customFormat="true">
      <c r="A141" s="98">
        <v>140</v>
      </c>
      <c r="B141" s="99" t="s">
        <v>977</v>
      </c>
      <c r="C141" s="132">
        <v>46092.4841782407</v>
      </c>
      <c r="D141" s="148">
        <v>12</v>
      </c>
      <c r="E141" s="118">
        <v>46092</v>
      </c>
      <c r="F141" s="98" t="s">
        <v>215</v>
      </c>
      <c r="G141" s="99" t="s">
        <v>978</v>
      </c>
      <c r="H141" s="101" t="s">
        <v>607</v>
      </c>
      <c r="I141" s="98" t="s">
        <v>609</v>
      </c>
      <c r="J141" s="98" t="s">
        <f>=_xlfn.TEXTJOIN("+",TRUE,_xlfn._xlws.FILTER(_xlfn.TEXTSPLIT(H141,,"+"),(_xlfn.TEXTSPLIT(H141,,"+")&lt;&gt;"埃米工具")*(_xlfn.TEXTSPLIT(H141,,"+")&lt;&gt;"埃米广告通")))</f>
        <v>607</v>
      </c>
      <c r="K141" s="100">
        <f>=EDATE(C141,D141)</f>
        <v>46457</v>
      </c>
      <c r="L141" s="100" t="s"/>
      <c r="M141" s="98" t="s"/>
      <c r="N141" s="101" t="s">
        <v>611</v>
      </c>
      <c r="O141" s="155" t="s">
        <v>979</v>
      </c>
      <c r="P141" s="103" t="s"/>
      <c r="Q141" s="111" t="s"/>
      <c r="R141" s="105" t="s"/>
      <c r="S141" s="105" t="s"/>
      <c r="T141" s="97" t="s"/>
      <c r="U141" s="97" t="s"/>
      <c r="V141" s="97" t="s"/>
      <c r="W141" s="97" t="s"/>
      <c r="X141" s="97" t="s"/>
      <c r="Y141" s="97" t="s"/>
      <c r="Z141" s="98" t="s"/>
      <c r="AA141" s="98" t="s"/>
      <c r="AB141" s="98" t="s"/>
      <c r="AC141" s="98" t="s"/>
      <c r="AD141" s="98" t="s"/>
      <c r="AE141" s="98" t="s"/>
      <c r="AF141" s="98" t="s"/>
      <c r="AG141" s="98" t="s"/>
      <c r="AH141" s="98" t="s"/>
      <c r="AI141" s="98" t="s"/>
      <c r="AJ141" s="98" t="s"/>
      <c r="AK141" s="97" t="s"/>
      <c r="AL141" s="97" t="s"/>
      <c r="AM141" s="97" t="s"/>
    </row>
    <row r="142" spans="1:39" s="426" customFormat="true">
      <c r="A142" s="98">
        <v>141</v>
      </c>
      <c r="B142" s="99" t="s">
        <v>253</v>
      </c>
      <c r="C142" s="132">
        <v>46092.4878587962</v>
      </c>
      <c r="D142" s="148">
        <v>12</v>
      </c>
      <c r="E142" s="118">
        <v>46092</v>
      </c>
      <c r="F142" s="98" t="s">
        <v>236</v>
      </c>
      <c r="G142" s="98" t="s">
        <v>980</v>
      </c>
      <c r="H142" s="101" t="s">
        <v>607</v>
      </c>
      <c r="I142" s="98" t="s">
        <v>609</v>
      </c>
      <c r="J142" s="98" t="s">
        <f>=_xlfn.TEXTJOIN("+",TRUE,_xlfn._xlws.FILTER(_xlfn.TEXTSPLIT(H142,,"+"),(_xlfn.TEXTSPLIT(H142,,"+")&lt;&gt;"埃米工具")*(_xlfn.TEXTSPLIT(H142,,"+")&lt;&gt;"埃米广告通")))</f>
        <v>607</v>
      </c>
      <c r="K142" s="100">
        <f>=EDATE(C142,D142)</f>
        <v>46457</v>
      </c>
      <c r="L142" s="100" t="s"/>
      <c r="M142" s="102" t="s"/>
      <c r="N142" s="101" t="s">
        <v>611</v>
      </c>
      <c r="O142" s="110" t="s">
        <v>703</v>
      </c>
      <c r="P142" s="103" t="s"/>
      <c r="Q142" s="111" t="s"/>
      <c r="R142" s="105" t="s"/>
      <c r="S142" s="105" t="s"/>
      <c r="T142" s="97" t="s"/>
      <c r="U142" s="97" t="s"/>
      <c r="V142" s="97" t="s"/>
      <c r="W142" s="97" t="s"/>
      <c r="X142" s="97" t="s"/>
      <c r="Y142" s="97" t="s"/>
      <c r="Z142" s="98" t="s"/>
      <c r="AA142" s="98" t="s"/>
      <c r="AB142" s="98" t="s"/>
      <c r="AC142" s="98" t="s"/>
      <c r="AD142" s="98" t="s"/>
      <c r="AE142" s="98" t="s"/>
      <c r="AF142" s="98" t="s"/>
      <c r="AG142" s="98" t="s"/>
      <c r="AH142" s="98" t="s"/>
      <c r="AI142" s="98" t="s"/>
      <c r="AJ142" s="98" t="s"/>
      <c r="AK142" s="97" t="s"/>
      <c r="AL142" s="97" t="s"/>
      <c r="AM142" s="97" t="s"/>
    </row>
    <row r="143" spans="1:39" s="426" customFormat="true">
      <c r="A143" s="98">
        <v>142</v>
      </c>
      <c r="B143" s="99" t="s">
        <v>253</v>
      </c>
      <c r="C143" s="132">
        <v>46092.4876967593</v>
      </c>
      <c r="D143" s="148">
        <v>12</v>
      </c>
      <c r="E143" s="118">
        <v>46092</v>
      </c>
      <c r="F143" s="98" t="s">
        <v>236</v>
      </c>
      <c r="G143" s="154" t="s">
        <v>981</v>
      </c>
      <c r="H143" s="101" t="s">
        <v>607</v>
      </c>
      <c r="I143" s="98" t="s">
        <v>609</v>
      </c>
      <c r="J143" s="98" t="s">
        <f>=_xlfn.TEXTJOIN("+",TRUE,_xlfn._xlws.FILTER(_xlfn.TEXTSPLIT(H143,,"+"),(_xlfn.TEXTSPLIT(H143,,"+")&lt;&gt;"埃米工具")*(_xlfn.TEXTSPLIT(H143,,"+")&lt;&gt;"埃米广告通")))</f>
        <v>607</v>
      </c>
      <c r="K143" s="100">
        <f>=EDATE(C143,D143)</f>
        <v>46457</v>
      </c>
      <c r="L143" s="100" t="s"/>
      <c r="M143" s="102" t="s"/>
      <c r="N143" s="101" t="s">
        <v>611</v>
      </c>
      <c r="O143" s="110" t="s">
        <v>703</v>
      </c>
      <c r="P143" s="103" t="s"/>
      <c r="Q143" s="111" t="s"/>
      <c r="R143" s="105" t="s"/>
      <c r="S143" s="105" t="s"/>
      <c r="T143" s="97" t="s"/>
      <c r="U143" s="97" t="s"/>
      <c r="V143" s="97" t="s"/>
      <c r="W143" s="97" t="s"/>
      <c r="X143" s="97" t="s"/>
      <c r="Y143" s="97" t="s"/>
      <c r="Z143" s="98" t="s"/>
      <c r="AA143" s="98" t="s"/>
      <c r="AB143" s="98" t="s"/>
      <c r="AC143" s="98" t="s"/>
      <c r="AD143" s="98" t="s"/>
      <c r="AE143" s="98" t="s"/>
      <c r="AF143" s="98" t="s"/>
      <c r="AG143" s="98" t="s"/>
      <c r="AH143" s="98" t="s"/>
      <c r="AI143" s="98" t="s"/>
      <c r="AJ143" s="98" t="s"/>
      <c r="AK143" s="97" t="s"/>
      <c r="AL143" s="97" t="s"/>
      <c r="AM143" s="97" t="s"/>
    </row>
    <row r="144" spans="1:39" s="426" customFormat="true">
      <c r="A144" s="98">
        <v>143</v>
      </c>
      <c r="B144" s="99" t="s">
        <v>253</v>
      </c>
      <c r="C144" s="132">
        <v>46092.4873958333</v>
      </c>
      <c r="D144" s="148">
        <v>12</v>
      </c>
      <c r="E144" s="118">
        <v>46092</v>
      </c>
      <c r="F144" s="98" t="s">
        <v>236</v>
      </c>
      <c r="G144" s="98" t="s">
        <v>982</v>
      </c>
      <c r="H144" s="101" t="s">
        <v>607</v>
      </c>
      <c r="I144" s="98" t="s">
        <v>609</v>
      </c>
      <c r="J144" s="98" t="s">
        <f>=_xlfn.TEXTJOIN("+",TRUE,_xlfn._xlws.FILTER(_xlfn.TEXTSPLIT(H144,,"+"),(_xlfn.TEXTSPLIT(H144,,"+")&lt;&gt;"埃米工具")*(_xlfn.TEXTSPLIT(H144,,"+")&lt;&gt;"埃米广告通")))</f>
        <v>607</v>
      </c>
      <c r="K144" s="100">
        <f>=EDATE(C144,D144)</f>
        <v>46457</v>
      </c>
      <c r="L144" s="100" t="s"/>
      <c r="M144" s="102" t="s"/>
      <c r="N144" s="101" t="s">
        <v>611</v>
      </c>
      <c r="O144" s="135" t="s">
        <v>703</v>
      </c>
      <c r="P144" s="103" t="s"/>
      <c r="Q144" s="111" t="s"/>
      <c r="R144" s="105" t="s"/>
      <c r="S144" s="105" t="s"/>
      <c r="T144" s="97" t="s"/>
      <c r="U144" s="97" t="s"/>
      <c r="V144" s="97" t="s"/>
      <c r="W144" s="97" t="s"/>
      <c r="X144" s="97" t="s"/>
      <c r="Y144" s="97" t="s"/>
      <c r="Z144" s="98" t="s"/>
      <c r="AA144" s="98" t="s"/>
      <c r="AB144" s="98" t="s"/>
      <c r="AC144" s="98" t="s"/>
      <c r="AD144" s="98" t="s"/>
      <c r="AE144" s="98" t="s"/>
      <c r="AF144" s="98" t="s"/>
      <c r="AG144" s="98" t="s"/>
      <c r="AH144" s="98" t="s"/>
      <c r="AI144" s="98" t="s"/>
      <c r="AJ144" s="98" t="s"/>
      <c r="AK144" s="97" t="s"/>
      <c r="AL144" s="97" t="s"/>
      <c r="AM144" s="97" t="s"/>
    </row>
    <row r="145" spans="1:39" s="426" customFormat="true">
      <c r="A145" s="98">
        <v>144</v>
      </c>
      <c r="B145" s="99" t="s">
        <v>983</v>
      </c>
      <c r="C145" s="132">
        <v>46092.4912037037</v>
      </c>
      <c r="D145" s="148">
        <v>12</v>
      </c>
      <c r="E145" s="118">
        <v>46092</v>
      </c>
      <c r="F145" s="98" t="s">
        <v>224</v>
      </c>
      <c r="G145" s="154" t="s">
        <v>984</v>
      </c>
      <c r="H145" s="101" t="s">
        <v>607</v>
      </c>
      <c r="I145" s="98" t="s">
        <v>609</v>
      </c>
      <c r="J145" s="98" t="s">
        <f>=_xlfn.TEXTJOIN("+",TRUE,_xlfn._xlws.FILTER(_xlfn.TEXTSPLIT(H145,,"+"),(_xlfn.TEXTSPLIT(H145,,"+")&lt;&gt;"埃米工具")*(_xlfn.TEXTSPLIT(H145,,"+")&lt;&gt;"埃米广告通")))</f>
        <v>607</v>
      </c>
      <c r="K145" s="100">
        <f>=EDATE(C145,D145)</f>
        <v>46457</v>
      </c>
      <c r="L145" s="100" t="s"/>
      <c r="M145" s="102" t="s"/>
      <c r="N145" s="101" t="s">
        <v>611</v>
      </c>
      <c r="O145" s="120">
        <v>46099</v>
      </c>
      <c r="P145" s="103" t="s">
        <v>985</v>
      </c>
      <c r="Q145" s="111" t="s"/>
      <c r="R145" s="105" t="s"/>
      <c r="S145" s="105" t="s"/>
      <c r="T145" s="97" t="s"/>
      <c r="U145" s="97" t="s"/>
      <c r="V145" s="97" t="s"/>
      <c r="W145" s="97" t="s"/>
      <c r="X145" s="97" t="s"/>
      <c r="Y145" s="97" t="s"/>
      <c r="Z145" s="100" t="s"/>
      <c r="AA145" s="98" t="s"/>
      <c r="AB145" s="98" t="s"/>
      <c r="AC145" s="98" t="s"/>
      <c r="AD145" s="98" t="s"/>
      <c r="AE145" s="98" t="s"/>
      <c r="AF145" s="98" t="s"/>
      <c r="AG145" s="98" t="s"/>
      <c r="AH145" s="98" t="s"/>
      <c r="AI145" s="98" t="s"/>
      <c r="AJ145" s="98" t="s"/>
      <c r="AK145" s="97" t="s"/>
      <c r="AL145" s="97" t="s"/>
      <c r="AM145" s="97" t="s"/>
    </row>
    <row r="146" spans="1:39" s="426" customFormat="true">
      <c r="A146" s="98">
        <v>145</v>
      </c>
      <c r="B146" s="99" t="s">
        <v>80</v>
      </c>
      <c r="C146" s="156">
        <v>46092.4912037037</v>
      </c>
      <c r="D146" s="148">
        <v>12</v>
      </c>
      <c r="E146" s="118">
        <v>46093</v>
      </c>
      <c r="F146" s="98" t="s">
        <v>234</v>
      </c>
      <c r="G146" s="154" t="s">
        <v>986</v>
      </c>
      <c r="H146" s="101" t="s">
        <v>12</v>
      </c>
      <c r="I146" s="98" t="s">
        <v>646</v>
      </c>
      <c r="J146" s="98" t="s">
        <f>=_xlfn.TEXTJOIN("+",TRUE,_xlfn._xlws.FILTER(_xlfn.TEXTSPLIT(H146,,"+"),(_xlfn.TEXTSPLIT(H146,,"+")&lt;&gt;"埃米工具")*(_xlfn.TEXTSPLIT(H146,,"+")&lt;&gt;"埃米广告通")))</f>
        <v>12</v>
      </c>
      <c r="K146" s="100">
        <f>=EDATE(C146,D146)</f>
        <v>46457</v>
      </c>
      <c r="L146" s="118">
        <v>46098</v>
      </c>
      <c r="M146" s="102" t="s">
        <v>610</v>
      </c>
      <c r="N146" s="101" t="s">
        <v>611</v>
      </c>
      <c r="O146" s="103" t="s">
        <v>790</v>
      </c>
      <c r="P146" s="103" t="s"/>
      <c r="Q146" s="111" t="s"/>
      <c r="R146" s="105" t="s"/>
      <c r="S146" s="105" t="s"/>
      <c r="T146" s="97" t="s"/>
      <c r="U146" s="97" t="s"/>
      <c r="V146" s="97" t="s"/>
      <c r="W146" s="97" t="s"/>
      <c r="X146" s="97" t="s"/>
      <c r="Y146" s="97" t="s"/>
      <c r="Z146" s="98" t="s"/>
      <c r="AA146" s="98" t="s"/>
      <c r="AB146" s="98" t="s"/>
      <c r="AC146" s="98" t="s"/>
      <c r="AD146" s="98" t="s"/>
      <c r="AE146" s="98" t="s"/>
      <c r="AF146" s="98" t="s"/>
      <c r="AG146" s="98" t="s"/>
      <c r="AH146" s="98" t="s"/>
      <c r="AI146" s="98" t="s"/>
      <c r="AJ146" s="98" t="s"/>
      <c r="AK146" s="97" t="s"/>
      <c r="AL146" s="97" t="s"/>
      <c r="AM146" s="97" t="s"/>
    </row>
    <row r="147" spans="1:39" s="426" customFormat="true">
      <c r="A147" s="98">
        <v>146</v>
      </c>
      <c r="B147" s="99" t="s">
        <v>243</v>
      </c>
      <c r="C147" s="132">
        <v>46092.4912037037</v>
      </c>
      <c r="D147" s="148">
        <v>12</v>
      </c>
      <c r="E147" s="118">
        <v>46093</v>
      </c>
      <c r="F147" s="98" t="s">
        <v>224</v>
      </c>
      <c r="G147" s="157" t="s">
        <v>987</v>
      </c>
      <c r="H147" s="96" t="s">
        <v>607</v>
      </c>
      <c r="I147" s="97" t="s">
        <v>609</v>
      </c>
      <c r="J147" s="98" t="s">
        <f>=_xlfn.TEXTJOIN("+",TRUE,_xlfn._xlws.FILTER(_xlfn.TEXTSPLIT(H147,,"+"),(_xlfn.TEXTSPLIT(H147,,"+")&lt;&gt;"埃米工具")*(_xlfn.TEXTSPLIT(H147,,"+")&lt;&gt;"埃米广告通")))</f>
        <v>607</v>
      </c>
      <c r="K147" s="100">
        <f>=EDATE(C147,D147)</f>
        <v>46457</v>
      </c>
      <c r="L147" s="100" t="s"/>
      <c r="M147" s="102" t="s"/>
      <c r="N147" s="101" t="s">
        <v>611</v>
      </c>
      <c r="O147" s="110" t="s">
        <v>703</v>
      </c>
      <c r="P147" s="103" t="s"/>
      <c r="Q147" s="111" t="s"/>
      <c r="R147" s="105" t="s"/>
      <c r="S147" s="105" t="s"/>
      <c r="T147" s="97" t="s"/>
      <c r="U147" s="97" t="s"/>
      <c r="V147" s="97" t="s"/>
      <c r="W147" s="97" t="s"/>
      <c r="X147" s="97" t="s"/>
      <c r="Y147" s="97" t="s"/>
      <c r="Z147" s="98" t="s"/>
      <c r="AA147" s="98" t="s"/>
      <c r="AB147" s="98" t="s"/>
      <c r="AC147" s="98" t="s"/>
      <c r="AD147" s="98" t="s"/>
      <c r="AE147" s="98" t="s"/>
      <c r="AF147" s="98" t="s"/>
      <c r="AG147" s="98" t="s"/>
      <c r="AH147" s="98" t="s"/>
      <c r="AI147" s="98" t="s"/>
      <c r="AJ147" s="98" t="s"/>
      <c r="AK147" s="97" t="s"/>
      <c r="AL147" s="97" t="s"/>
      <c r="AM147" s="97" t="s"/>
    </row>
    <row r="148" spans="1:39" s="426" customFormat="true" ht="18" customHeight="true">
      <c r="A148" s="98">
        <v>147</v>
      </c>
      <c r="B148" s="99" t="s">
        <v>988</v>
      </c>
      <c r="C148" s="132">
        <v>46092.7569444444</v>
      </c>
      <c r="D148" s="148">
        <v>12</v>
      </c>
      <c r="E148" s="118">
        <v>46093</v>
      </c>
      <c r="F148" s="98" t="s">
        <v>234</v>
      </c>
      <c r="G148" s="154" t="s">
        <v>989</v>
      </c>
      <c r="H148" s="101" t="s">
        <v>607</v>
      </c>
      <c r="I148" s="98" t="s">
        <v>609</v>
      </c>
      <c r="J148" s="98" t="s">
        <f>=_xlfn.TEXTJOIN("+",TRUE,_xlfn._xlws.FILTER(_xlfn.TEXTSPLIT(H148,,"+"),(_xlfn.TEXTSPLIT(H148,,"+")&lt;&gt;"埃米工具")*(_xlfn.TEXTSPLIT(H148,,"+")&lt;&gt;"埃米广告通")))</f>
        <v>607</v>
      </c>
      <c r="K148" s="100">
        <f>=EDATE(C148,D148)</f>
        <v>46457</v>
      </c>
      <c r="L148" s="100" t="s"/>
      <c r="M148" s="102" t="s"/>
      <c r="N148" s="101" t="s">
        <v>611</v>
      </c>
      <c r="O148" s="110" t="s">
        <v>790</v>
      </c>
      <c r="P148" s="103" t="s"/>
      <c r="Q148" s="111" t="s"/>
      <c r="R148" s="105" t="s"/>
      <c r="S148" s="105" t="s"/>
      <c r="T148" s="97" t="s"/>
      <c r="U148" s="97" t="s"/>
      <c r="V148" s="97" t="s"/>
      <c r="W148" s="97" t="s"/>
      <c r="X148" s="97" t="s"/>
      <c r="Y148" s="97" t="s"/>
      <c r="Z148" s="98" t="s"/>
      <c r="AA148" s="98" t="s"/>
      <c r="AB148" s="98" t="s"/>
      <c r="AC148" s="98" t="s"/>
      <c r="AD148" s="98" t="s"/>
      <c r="AE148" s="98" t="s"/>
      <c r="AF148" s="98" t="s"/>
      <c r="AG148" s="98" t="s"/>
      <c r="AH148" s="98" t="s"/>
      <c r="AI148" s="98" t="s"/>
      <c r="AJ148" s="98" t="s"/>
      <c r="AK148" s="97" t="s"/>
      <c r="AL148" s="97" t="s"/>
      <c r="AM148" s="97" t="s"/>
    </row>
    <row r="149" spans="1:39" s="426" customFormat="true">
      <c r="A149" s="98">
        <v>148</v>
      </c>
      <c r="B149" s="99" t="s">
        <v>990</v>
      </c>
      <c r="C149" s="132">
        <v>46093.433587963</v>
      </c>
      <c r="D149" s="148">
        <v>12</v>
      </c>
      <c r="E149" s="118">
        <v>46093</v>
      </c>
      <c r="F149" s="98" t="s">
        <v>215</v>
      </c>
      <c r="G149" s="154" t="s">
        <v>991</v>
      </c>
      <c r="H149" s="101" t="s">
        <v>607</v>
      </c>
      <c r="I149" s="98" t="s">
        <v>609</v>
      </c>
      <c r="J149" s="98" t="s">
        <f>=_xlfn.TEXTJOIN("+",TRUE,_xlfn._xlws.FILTER(_xlfn.TEXTSPLIT(H149,,"+"),(_xlfn.TEXTSPLIT(H149,,"+")&lt;&gt;"埃米工具")*(_xlfn.TEXTSPLIT(H149,,"+")&lt;&gt;"埃米广告通")))</f>
        <v>607</v>
      </c>
      <c r="K149" s="100">
        <f>=EDATE(C149,D149)</f>
        <v>46458</v>
      </c>
      <c r="L149" s="100" t="s"/>
      <c r="M149" s="102" t="s"/>
      <c r="N149" s="101" t="s">
        <v>611</v>
      </c>
      <c r="O149" s="110" t="s">
        <v>992</v>
      </c>
      <c r="P149" s="103" t="s"/>
      <c r="Q149" s="111" t="s"/>
      <c r="R149" s="105" t="s"/>
      <c r="S149" s="105" t="s"/>
      <c r="T149" s="97" t="s"/>
      <c r="U149" s="97" t="s"/>
      <c r="V149" s="97" t="s"/>
      <c r="W149" s="97" t="s"/>
      <c r="X149" s="97" t="s"/>
      <c r="Y149" s="97" t="s"/>
      <c r="Z149" s="98" t="s"/>
      <c r="AA149" s="98" t="s"/>
      <c r="AB149" s="98" t="s"/>
      <c r="AC149" s="98" t="s"/>
      <c r="AD149" s="98" t="s"/>
      <c r="AE149" s="98" t="s"/>
      <c r="AF149" s="98" t="s"/>
      <c r="AG149" s="98" t="s"/>
      <c r="AH149" s="98" t="s"/>
      <c r="AI149" s="98" t="s"/>
      <c r="AJ149" s="98" t="s"/>
      <c r="AK149" s="97" t="s"/>
      <c r="AL149" s="97" t="s"/>
      <c r="AM149" s="97" t="s"/>
    </row>
    <row r="150" spans="1:39" s="426" customFormat="true">
      <c r="A150" s="98">
        <v>149</v>
      </c>
      <c r="B150" s="99" t="s">
        <v>993</v>
      </c>
      <c r="C150" s="132">
        <v>46093.4173032408</v>
      </c>
      <c r="D150" s="148">
        <v>12</v>
      </c>
      <c r="E150" s="118">
        <v>46093</v>
      </c>
      <c r="F150" s="98" t="s">
        <v>234</v>
      </c>
      <c r="G150" s="154" t="s">
        <v>994</v>
      </c>
      <c r="H150" s="101" t="s">
        <v>607</v>
      </c>
      <c r="I150" s="98" t="s">
        <v>609</v>
      </c>
      <c r="J150" s="98" t="s">
        <f>=_xlfn.TEXTJOIN("+",TRUE,_xlfn._xlws.FILTER(_xlfn.TEXTSPLIT(H150,,"+"),(_xlfn.TEXTSPLIT(H150,,"+")&lt;&gt;"埃米工具")*(_xlfn.TEXTSPLIT(H150,,"+")&lt;&gt;"埃米广告通")))</f>
        <v>607</v>
      </c>
      <c r="K150" s="100">
        <f>=EDATE(C150,D150)</f>
        <v>46458</v>
      </c>
      <c r="L150" s="100" t="s"/>
      <c r="M150" s="102" t="s"/>
      <c r="N150" s="101" t="s">
        <v>611</v>
      </c>
      <c r="O150" s="110" t="s">
        <v>933</v>
      </c>
      <c r="P150" s="103" t="s"/>
      <c r="Q150" s="111" t="s"/>
      <c r="R150" s="105" t="s"/>
      <c r="S150" s="105" t="s"/>
      <c r="T150" s="97" t="s"/>
      <c r="U150" s="97" t="s"/>
      <c r="V150" s="97" t="s"/>
      <c r="W150" s="97" t="s"/>
      <c r="X150" s="97" t="s"/>
      <c r="Y150" s="97" t="s"/>
      <c r="Z150" s="98" t="s"/>
      <c r="AA150" s="98" t="s"/>
      <c r="AB150" s="98" t="s"/>
      <c r="AC150" s="98" t="s"/>
      <c r="AD150" s="98" t="s"/>
      <c r="AE150" s="98" t="s"/>
      <c r="AF150" s="98" t="s"/>
      <c r="AG150" s="98" t="s"/>
      <c r="AH150" s="98" t="s"/>
      <c r="AI150" s="98" t="s"/>
      <c r="AJ150" s="98" t="s"/>
      <c r="AK150" s="97" t="s"/>
      <c r="AL150" s="97" t="s"/>
      <c r="AM150" s="97" t="s"/>
    </row>
    <row r="151" spans="1:39" s="426" customFormat="true">
      <c r="A151" s="98">
        <v>150</v>
      </c>
      <c r="B151" s="99" t="s">
        <v>995</v>
      </c>
      <c r="C151" s="132">
        <v>46093.3946990741</v>
      </c>
      <c r="D151" s="148">
        <v>12</v>
      </c>
      <c r="E151" s="118">
        <v>46093</v>
      </c>
      <c r="F151" s="98" t="s">
        <v>215</v>
      </c>
      <c r="G151" s="154" t="s">
        <v>996</v>
      </c>
      <c r="H151" s="101" t="s">
        <v>607</v>
      </c>
      <c r="I151" s="98" t="s">
        <v>609</v>
      </c>
      <c r="J151" s="98" t="s">
        <f>=_xlfn.TEXTJOIN("+",TRUE,_xlfn._xlws.FILTER(_xlfn.TEXTSPLIT(H151,,"+"),(_xlfn.TEXTSPLIT(H151,,"+")&lt;&gt;"埃米工具")*(_xlfn.TEXTSPLIT(H151,,"+")&lt;&gt;"埃米广告通")))</f>
        <v>607</v>
      </c>
      <c r="K151" s="100">
        <f>=EDATE(C151,D151)</f>
        <v>46458</v>
      </c>
      <c r="L151" s="100" t="s"/>
      <c r="M151" s="102" t="s"/>
      <c r="N151" s="101" t="s">
        <v>611</v>
      </c>
      <c r="O151" s="155" t="s">
        <v>979</v>
      </c>
      <c r="P151" s="103" t="s"/>
      <c r="Q151" s="111" t="s"/>
      <c r="R151" s="105" t="s"/>
      <c r="S151" s="105" t="s"/>
      <c r="T151" s="97" t="s"/>
      <c r="U151" s="97" t="s"/>
      <c r="V151" s="97" t="s"/>
      <c r="W151" s="97" t="s"/>
      <c r="X151" s="97" t="s"/>
      <c r="Y151" s="97" t="s"/>
      <c r="Z151" s="98" t="s"/>
      <c r="AA151" s="98" t="s"/>
      <c r="AB151" s="98" t="s"/>
      <c r="AC151" s="98" t="s"/>
      <c r="AD151" s="98" t="s"/>
      <c r="AE151" s="98" t="s"/>
      <c r="AF151" s="98" t="s"/>
      <c r="AG151" s="98" t="s"/>
      <c r="AH151" s="98" t="s"/>
      <c r="AI151" s="98" t="s"/>
      <c r="AJ151" s="98" t="s"/>
      <c r="AK151" s="97" t="s"/>
      <c r="AL151" s="97" t="s"/>
      <c r="AM151" s="97" t="s"/>
    </row>
    <row r="152" spans="1:39" s="426" customFormat="true">
      <c r="A152" s="98">
        <v>151</v>
      </c>
      <c r="B152" s="99" t="s">
        <v>997</v>
      </c>
      <c r="C152" s="132">
        <v>46093.4774189815</v>
      </c>
      <c r="D152" s="148">
        <v>12</v>
      </c>
      <c r="E152" s="118">
        <v>46093</v>
      </c>
      <c r="F152" s="98" t="s">
        <v>236</v>
      </c>
      <c r="G152" s="154" t="s">
        <v>998</v>
      </c>
      <c r="H152" s="101" t="s">
        <v>607</v>
      </c>
      <c r="I152" s="98" t="s">
        <v>609</v>
      </c>
      <c r="J152" s="98" t="s">
        <f>=_xlfn.TEXTJOIN("+",TRUE,_xlfn._xlws.FILTER(_xlfn.TEXTSPLIT(H152,,"+"),(_xlfn.TEXTSPLIT(H152,,"+")&lt;&gt;"埃米工具")*(_xlfn.TEXTSPLIT(H152,,"+")&lt;&gt;"埃米广告通")))</f>
        <v>607</v>
      </c>
      <c r="K152" s="100">
        <f>=EDATE(C152,D152)</f>
        <v>46458</v>
      </c>
      <c r="L152" s="100" t="s"/>
      <c r="M152" s="102" t="s"/>
      <c r="N152" s="101" t="s">
        <v>611</v>
      </c>
      <c r="O152" s="110" t="s">
        <v>951</v>
      </c>
      <c r="P152" s="103" t="s"/>
      <c r="Q152" s="111" t="s"/>
      <c r="R152" s="105" t="s"/>
      <c r="S152" s="106" t="s"/>
      <c r="T152" s="98" t="s"/>
      <c r="U152" s="98" t="s"/>
      <c r="V152" s="97" t="s"/>
      <c r="W152" s="97" t="s"/>
      <c r="X152" s="97" t="s"/>
      <c r="Y152" s="97" t="s"/>
      <c r="Z152" s="98" t="s"/>
      <c r="AA152" s="98" t="s"/>
      <c r="AB152" s="98" t="s"/>
      <c r="AC152" s="98" t="s"/>
      <c r="AD152" s="98" t="s"/>
      <c r="AE152" s="98" t="s"/>
      <c r="AF152" s="98" t="s"/>
      <c r="AG152" s="98" t="s"/>
      <c r="AH152" s="98" t="s"/>
      <c r="AI152" s="98" t="s"/>
      <c r="AJ152" s="98" t="s"/>
      <c r="AK152" s="97" t="s"/>
      <c r="AL152" s="97" t="s"/>
      <c r="AM152" s="97" t="s"/>
    </row>
    <row r="153" spans="1:39" s="426" customFormat="true">
      <c r="A153" s="98">
        <v>152</v>
      </c>
      <c r="B153" s="99" t="s">
        <v>999</v>
      </c>
      <c r="C153" s="132">
        <v>46093.6505439815</v>
      </c>
      <c r="D153" s="148">
        <v>12</v>
      </c>
      <c r="E153" s="118">
        <v>46093</v>
      </c>
      <c r="F153" s="98" t="s">
        <v>234</v>
      </c>
      <c r="G153" s="154" t="s">
        <v>1000</v>
      </c>
      <c r="H153" s="101" t="s">
        <v>607</v>
      </c>
      <c r="I153" s="98" t="s">
        <v>609</v>
      </c>
      <c r="J153" s="98" t="s">
        <f>=_xlfn.TEXTJOIN("+",TRUE,_xlfn._xlws.FILTER(_xlfn.TEXTSPLIT(H153,,"+"),(_xlfn.TEXTSPLIT(H153,,"+")&lt;&gt;"埃米工具")*(_xlfn.TEXTSPLIT(H153,,"+")&lt;&gt;"埃米广告通")))</f>
        <v>607</v>
      </c>
      <c r="K153" s="100">
        <f>=EDATE(C153,D153)</f>
        <v>46458</v>
      </c>
      <c r="L153" s="100" t="s"/>
      <c r="M153" s="102" t="s"/>
      <c r="N153" s="101" t="s">
        <v>611</v>
      </c>
      <c r="O153" s="110" t="s">
        <v>1001</v>
      </c>
      <c r="P153" s="103" t="s"/>
      <c r="Q153" s="111" t="s"/>
      <c r="R153" s="105" t="s"/>
      <c r="S153" s="105" t="s"/>
      <c r="T153" s="97" t="s"/>
      <c r="U153" s="97" t="s"/>
      <c r="V153" s="97" t="s"/>
      <c r="W153" s="97" t="s"/>
      <c r="X153" s="97" t="s"/>
      <c r="Y153" s="97" t="s"/>
      <c r="Z153" s="98" t="s"/>
      <c r="AA153" s="98" t="s"/>
      <c r="AB153" s="98" t="s"/>
      <c r="AC153" s="98" t="s"/>
      <c r="AD153" s="98" t="s"/>
      <c r="AE153" s="98" t="s"/>
      <c r="AF153" s="98" t="s"/>
      <c r="AG153" s="98" t="s"/>
      <c r="AH153" s="98" t="s"/>
      <c r="AI153" s="98" t="s"/>
      <c r="AJ153" s="98" t="s"/>
      <c r="AK153" s="97" t="s"/>
      <c r="AL153" s="97" t="s"/>
      <c r="AM153" s="97" t="s"/>
    </row>
    <row r="154" spans="1:39" s="426" customFormat="true">
      <c r="A154" s="98">
        <v>153</v>
      </c>
      <c r="B154" s="99" t="s">
        <v>1002</v>
      </c>
      <c r="C154" s="132">
        <v>46093.6295601852</v>
      </c>
      <c r="D154" s="148">
        <v>12</v>
      </c>
      <c r="E154" s="118">
        <v>46093</v>
      </c>
      <c r="F154" s="98" t="s">
        <v>234</v>
      </c>
      <c r="G154" s="154" t="s">
        <v>1003</v>
      </c>
      <c r="H154" s="101" t="s">
        <v>607</v>
      </c>
      <c r="I154" s="98" t="s">
        <v>609</v>
      </c>
      <c r="J154" s="98" t="s">
        <f>=_xlfn.TEXTJOIN("+",TRUE,_xlfn._xlws.FILTER(_xlfn.TEXTSPLIT(H154,,"+"),(_xlfn.TEXTSPLIT(H154,,"+")&lt;&gt;"埃米工具")*(_xlfn.TEXTSPLIT(H154,,"+")&lt;&gt;"埃米广告通")))</f>
        <v>607</v>
      </c>
      <c r="K154" s="100">
        <f>=EDATE(C154,D154)</f>
        <v>46458</v>
      </c>
      <c r="L154" s="100" t="s"/>
      <c r="M154" s="102" t="s"/>
      <c r="N154" s="101" t="s">
        <v>611</v>
      </c>
      <c r="O154" s="110" t="s">
        <v>1004</v>
      </c>
      <c r="P154" s="103" t="s"/>
      <c r="Q154" s="111" t="s"/>
      <c r="R154" s="105" t="s"/>
      <c r="S154" s="105" t="s"/>
      <c r="T154" s="97" t="s"/>
      <c r="U154" s="97" t="s"/>
      <c r="V154" s="97" t="s"/>
      <c r="W154" s="97" t="s"/>
      <c r="X154" s="97" t="s"/>
      <c r="Y154" s="97" t="s"/>
      <c r="Z154" s="98" t="s"/>
      <c r="AA154" s="98" t="s"/>
      <c r="AB154" s="98" t="s"/>
      <c r="AC154" s="98" t="s"/>
      <c r="AD154" s="98" t="s"/>
      <c r="AE154" s="98" t="s"/>
      <c r="AF154" s="98" t="s"/>
      <c r="AG154" s="98" t="s"/>
      <c r="AH154" s="98" t="s"/>
      <c r="AI154" s="98" t="s"/>
      <c r="AJ154" s="98" t="s"/>
      <c r="AK154" s="97" t="s"/>
      <c r="AL154" s="97" t="s"/>
      <c r="AM154" s="97" t="s"/>
    </row>
    <row r="155" spans="1:39" s="426" customFormat="true">
      <c r="A155" s="98">
        <v>154</v>
      </c>
      <c r="B155" s="99" t="s">
        <v>1005</v>
      </c>
      <c r="C155" s="132">
        <v>46093.6579745371</v>
      </c>
      <c r="D155" s="148">
        <v>12</v>
      </c>
      <c r="E155" s="118">
        <v>46093</v>
      </c>
      <c r="F155" s="98" t="s">
        <v>236</v>
      </c>
      <c r="G155" s="154" t="s">
        <v>1006</v>
      </c>
      <c r="H155" s="101" t="s">
        <v>607</v>
      </c>
      <c r="I155" s="98" t="s">
        <v>609</v>
      </c>
      <c r="J155" s="98" t="s">
        <f>=_xlfn.TEXTJOIN("+",TRUE,_xlfn._xlws.FILTER(_xlfn.TEXTSPLIT(H155,,"+"),(_xlfn.TEXTSPLIT(H155,,"+")&lt;&gt;"埃米工具")*(_xlfn.TEXTSPLIT(H155,,"+")&lt;&gt;"埃米广告通")))</f>
        <v>607</v>
      </c>
      <c r="K155" s="100">
        <f>=EDATE(C155,D155)</f>
        <v>46458</v>
      </c>
      <c r="L155" s="100" t="s"/>
      <c r="M155" s="102" t="s"/>
      <c r="N155" s="101" t="s">
        <v>611</v>
      </c>
      <c r="O155" s="110" t="s">
        <v>1007</v>
      </c>
      <c r="P155" s="103" t="s"/>
      <c r="Q155" s="111" t="s"/>
      <c r="R155" s="105" t="s"/>
      <c r="S155" s="105" t="s"/>
      <c r="T155" s="97" t="s"/>
      <c r="U155" s="97" t="s"/>
      <c r="V155" s="97" t="s"/>
      <c r="W155" s="97" t="s"/>
      <c r="X155" s="97" t="s"/>
      <c r="Y155" s="97" t="s"/>
      <c r="Z155" s="98" t="s"/>
      <c r="AA155" s="98" t="s"/>
      <c r="AB155" s="98" t="s"/>
      <c r="AC155" s="98" t="s"/>
      <c r="AD155" s="98" t="s"/>
      <c r="AE155" s="98" t="s"/>
      <c r="AF155" s="98" t="s"/>
      <c r="AG155" s="98" t="s"/>
      <c r="AH155" s="98" t="s"/>
      <c r="AI155" s="98" t="s"/>
      <c r="AJ155" s="98" t="s"/>
      <c r="AK155" s="97" t="s"/>
      <c r="AL155" s="97" t="s"/>
      <c r="AM155" s="97" t="s"/>
    </row>
    <row r="156" spans="1:39" s="426" customFormat="true">
      <c r="A156" s="98">
        <v>155</v>
      </c>
      <c r="B156" s="99" t="s">
        <v>81</v>
      </c>
      <c r="C156" s="132">
        <v>46093.6319675926</v>
      </c>
      <c r="D156" s="148">
        <v>12</v>
      </c>
      <c r="E156" s="118">
        <v>46093</v>
      </c>
      <c r="F156" s="98" t="s">
        <v>215</v>
      </c>
      <c r="G156" s="154" t="s">
        <v>1008</v>
      </c>
      <c r="H156" s="101" t="s">
        <v>12</v>
      </c>
      <c r="I156" s="98" t="s">
        <v>609</v>
      </c>
      <c r="J156" s="98" t="s">
        <f>=_xlfn.TEXTJOIN("+",TRUE,_xlfn._xlws.FILTER(_xlfn.TEXTSPLIT(H156,,"+"),(_xlfn.TEXTSPLIT(H156,,"+")&lt;&gt;"埃米工具")*(_xlfn.TEXTSPLIT(H156,,"+")&lt;&gt;"埃米广告通")))</f>
        <v>12</v>
      </c>
      <c r="K156" s="100">
        <f>=EDATE(C156,D156)</f>
        <v>46458</v>
      </c>
      <c r="L156" s="158">
        <v>46106</v>
      </c>
      <c r="M156" s="102" t="s">
        <v>1009</v>
      </c>
      <c r="N156" s="101" t="s">
        <v>611</v>
      </c>
      <c r="O156" s="110" t="s">
        <v>294</v>
      </c>
      <c r="P156" s="103" t="s"/>
      <c r="Q156" s="111" t="s"/>
      <c r="R156" s="105" t="s"/>
      <c r="S156" s="105" t="s"/>
      <c r="T156" s="97" t="s"/>
      <c r="U156" s="97" t="s"/>
      <c r="V156" s="97" t="s"/>
      <c r="W156" s="97" t="s"/>
      <c r="X156" s="97" t="s"/>
      <c r="Y156" s="97" t="s"/>
      <c r="Z156" s="98" t="s"/>
      <c r="AA156" s="98" t="s"/>
      <c r="AB156" s="98" t="s"/>
      <c r="AC156" s="98" t="s"/>
      <c r="AD156" s="98" t="s"/>
      <c r="AE156" s="98" t="s"/>
      <c r="AF156" s="98" t="s"/>
      <c r="AG156" s="98" t="s"/>
      <c r="AH156" s="98" t="s"/>
      <c r="AI156" s="98" t="s"/>
      <c r="AJ156" s="98" t="s"/>
      <c r="AK156" s="97" t="s"/>
      <c r="AL156" s="97" t="s"/>
      <c r="AM156" s="97" t="s"/>
    </row>
    <row r="157" spans="1:39" s="426" customFormat="true">
      <c r="A157" s="98">
        <v>156</v>
      </c>
      <c r="B157" s="99" t="s">
        <v>1010</v>
      </c>
      <c r="C157" s="132">
        <v>46093.6850462962</v>
      </c>
      <c r="D157" s="148">
        <v>12</v>
      </c>
      <c r="E157" s="118">
        <v>46093</v>
      </c>
      <c r="F157" s="98" t="s">
        <v>236</v>
      </c>
      <c r="G157" s="154" t="s">
        <v>1011</v>
      </c>
      <c r="H157" s="101" t="s">
        <v>607</v>
      </c>
      <c r="I157" s="98" t="s">
        <v>609</v>
      </c>
      <c r="J157" s="98" t="s">
        <f>=_xlfn.TEXTJOIN("+",TRUE,_xlfn._xlws.FILTER(_xlfn.TEXTSPLIT(H157,,"+"),(_xlfn.TEXTSPLIT(H157,,"+")&lt;&gt;"埃米工具")*(_xlfn.TEXTSPLIT(H157,,"+")&lt;&gt;"埃米广告通")))</f>
        <v>607</v>
      </c>
      <c r="K157" s="100">
        <f>=EDATE(C157,D157)</f>
        <v>46458</v>
      </c>
      <c r="L157" s="100" t="s"/>
      <c r="M157" s="102" t="s"/>
      <c r="N157" s="101" t="s">
        <v>611</v>
      </c>
      <c r="O157" s="135" t="s">
        <v>703</v>
      </c>
      <c r="P157" s="103" t="s"/>
      <c r="Q157" s="111" t="s"/>
      <c r="R157" s="105" t="s"/>
      <c r="S157" s="105" t="s"/>
      <c r="T157" s="97" t="s"/>
      <c r="U157" s="97" t="s"/>
      <c r="V157" s="97" t="s"/>
      <c r="W157" s="97" t="s"/>
      <c r="X157" s="97" t="s"/>
      <c r="Y157" s="97" t="s"/>
      <c r="Z157" s="98" t="s"/>
      <c r="AA157" s="98" t="s"/>
      <c r="AB157" s="98" t="s"/>
      <c r="AC157" s="98" t="s"/>
      <c r="AD157" s="98" t="s"/>
      <c r="AE157" s="98" t="s"/>
      <c r="AF157" s="98" t="s"/>
      <c r="AG157" s="98" t="s"/>
      <c r="AH157" s="98" t="s"/>
      <c r="AI157" s="98" t="s"/>
      <c r="AJ157" s="98" t="s"/>
      <c r="AK157" s="97" t="s"/>
      <c r="AL157" s="97" t="s"/>
      <c r="AM157" s="97" t="s"/>
    </row>
    <row r="158" spans="1:39" s="426" customFormat="true">
      <c r="A158" s="98">
        <v>157</v>
      </c>
      <c r="B158" s="99" t="s">
        <v>82</v>
      </c>
      <c r="C158" s="132">
        <v>46093.7025578704</v>
      </c>
      <c r="D158" s="148">
        <v>12</v>
      </c>
      <c r="E158" s="118">
        <v>46093</v>
      </c>
      <c r="F158" s="98" t="s">
        <v>215</v>
      </c>
      <c r="G158" s="154" t="s">
        <v>1012</v>
      </c>
      <c r="H158" s="101" t="s">
        <v>12</v>
      </c>
      <c r="I158" s="98" t="s">
        <v>609</v>
      </c>
      <c r="J158" s="98" t="s">
        <f>=_xlfn.TEXTJOIN("+",TRUE,_xlfn._xlws.FILTER(_xlfn.TEXTSPLIT(H158,,"+"),(_xlfn.TEXTSPLIT(H158,,"+")&lt;&gt;"埃米工具")*(_xlfn.TEXTSPLIT(H158,,"+")&lt;&gt;"埃米广告通")))</f>
        <v>12</v>
      </c>
      <c r="K158" s="100">
        <f>=EDATE(C158,D158)</f>
        <v>46458</v>
      </c>
      <c r="L158" s="159">
        <v>46099</v>
      </c>
      <c r="M158" s="102" t="s">
        <v>1013</v>
      </c>
      <c r="N158" s="101" t="s">
        <v>611</v>
      </c>
      <c r="O158" s="110" t="s">
        <v>294</v>
      </c>
      <c r="P158" s="103" t="s"/>
      <c r="Q158" s="111" t="s"/>
      <c r="R158" s="105" t="s"/>
      <c r="S158" s="105" t="s"/>
      <c r="T158" s="97" t="s"/>
      <c r="U158" s="97" t="s"/>
      <c r="V158" s="97" t="s"/>
      <c r="W158" s="97" t="s"/>
      <c r="X158" s="97" t="s"/>
      <c r="Y158" s="97" t="s"/>
      <c r="Z158" s="98" t="s"/>
      <c r="AA158" s="98" t="s"/>
      <c r="AB158" s="98" t="s"/>
      <c r="AC158" s="98" t="s"/>
      <c r="AD158" s="98" t="s"/>
      <c r="AE158" s="98" t="s"/>
      <c r="AF158" s="98" t="s"/>
      <c r="AG158" s="98" t="s"/>
      <c r="AH158" s="98" t="s"/>
      <c r="AI158" s="98" t="s"/>
      <c r="AJ158" s="98" t="s"/>
      <c r="AK158" s="97" t="s"/>
      <c r="AL158" s="97" t="s"/>
      <c r="AM158" s="97" t="s"/>
    </row>
    <row r="159" spans="1:39" s="426" customFormat="true">
      <c r="A159" s="98">
        <v>158</v>
      </c>
      <c r="B159" s="99" t="s">
        <v>1014</v>
      </c>
      <c r="C159" s="132">
        <v>46093.7078587962</v>
      </c>
      <c r="D159" s="148">
        <v>12</v>
      </c>
      <c r="E159" s="118">
        <v>46093</v>
      </c>
      <c r="F159" s="98" t="s">
        <v>234</v>
      </c>
      <c r="G159" s="154" t="s">
        <v>1015</v>
      </c>
      <c r="H159" s="101" t="s">
        <v>607</v>
      </c>
      <c r="I159" s="98" t="s">
        <v>609</v>
      </c>
      <c r="J159" s="98" t="s">
        <f>=_xlfn.TEXTJOIN("+",TRUE,_xlfn._xlws.FILTER(_xlfn.TEXTSPLIT(H159,,"+"),(_xlfn.TEXTSPLIT(H159,,"+")&lt;&gt;"埃米工具")*(_xlfn.TEXTSPLIT(H159,,"+")&lt;&gt;"埃米广告通")))</f>
        <v>607</v>
      </c>
      <c r="K159" s="100">
        <f>=EDATE(C159,D159)</f>
        <v>46458</v>
      </c>
      <c r="L159" s="100" t="s"/>
      <c r="M159" s="102" t="s"/>
      <c r="N159" s="101" t="s">
        <v>611</v>
      </c>
      <c r="O159" s="110" t="s">
        <v>703</v>
      </c>
      <c r="P159" s="103" t="s"/>
      <c r="Q159" s="111" t="s"/>
      <c r="R159" s="105" t="s"/>
      <c r="S159" s="105" t="s"/>
      <c r="T159" s="97" t="s"/>
      <c r="U159" s="97" t="s"/>
      <c r="V159" s="97" t="s"/>
      <c r="W159" s="97" t="s"/>
      <c r="X159" s="97" t="s"/>
      <c r="Y159" s="97" t="s"/>
      <c r="Z159" s="98" t="s"/>
      <c r="AA159" s="98" t="s"/>
      <c r="AB159" s="98" t="s"/>
      <c r="AC159" s="98" t="s"/>
      <c r="AD159" s="98" t="s"/>
      <c r="AE159" s="98" t="s"/>
      <c r="AF159" s="98" t="s"/>
      <c r="AG159" s="98" t="s"/>
      <c r="AH159" s="98" t="s"/>
      <c r="AI159" s="98" t="s"/>
      <c r="AJ159" s="98" t="s"/>
      <c r="AK159" s="97" t="s"/>
      <c r="AL159" s="97" t="s"/>
      <c r="AM159" s="97" t="s"/>
    </row>
    <row r="160" spans="1:39" s="426" customFormat="true">
      <c r="A160" s="98">
        <v>159</v>
      </c>
      <c r="B160" s="99" t="s">
        <v>280</v>
      </c>
      <c r="C160" s="132">
        <v>46094.4229513889</v>
      </c>
      <c r="D160" s="148">
        <v>12</v>
      </c>
      <c r="E160" s="118">
        <v>46094</v>
      </c>
      <c r="F160" s="98" t="s">
        <v>224</v>
      </c>
      <c r="G160" s="154" t="s">
        <v>1016</v>
      </c>
      <c r="H160" s="101" t="s">
        <v>607</v>
      </c>
      <c r="I160" s="98" t="s">
        <v>646</v>
      </c>
      <c r="J160" s="98" t="s">
        <f>=_xlfn.TEXTJOIN("+",TRUE,_xlfn._xlws.FILTER(_xlfn.TEXTSPLIT(H160,,"+"),(_xlfn.TEXTSPLIT(H160,,"+")&lt;&gt;"埃米工具")*(_xlfn.TEXTSPLIT(H160,,"+")&lt;&gt;"埃米广告通")))</f>
        <v>607</v>
      </c>
      <c r="K160" s="100">
        <f>=EDATE(C160,D160)</f>
        <v>46459</v>
      </c>
      <c r="L160" s="100" t="s"/>
      <c r="M160" s="102" t="s"/>
      <c r="N160" s="101" t="s">
        <v>611</v>
      </c>
      <c r="O160" s="110" t="s">
        <v>703</v>
      </c>
      <c r="P160" s="103" t="s"/>
      <c r="Q160" s="111" t="s"/>
      <c r="R160" s="105" t="s"/>
      <c r="S160" s="105" t="s"/>
      <c r="T160" s="97" t="s"/>
      <c r="U160" s="97" t="s"/>
      <c r="V160" s="97" t="s"/>
      <c r="W160" s="97" t="s"/>
      <c r="X160" s="97" t="s"/>
      <c r="Y160" s="97" t="s"/>
      <c r="Z160" s="98" t="s"/>
      <c r="AA160" s="98" t="s"/>
      <c r="AB160" s="98" t="s"/>
      <c r="AC160" s="98" t="s"/>
      <c r="AD160" s="98" t="s"/>
      <c r="AE160" s="98" t="s"/>
      <c r="AF160" s="98" t="s"/>
      <c r="AG160" s="98" t="s"/>
      <c r="AH160" s="98" t="s"/>
      <c r="AI160" s="98" t="s"/>
      <c r="AJ160" s="98" t="s"/>
      <c r="AK160" s="97" t="s"/>
      <c r="AL160" s="97" t="s"/>
      <c r="AM160" s="97" t="s"/>
    </row>
    <row r="161" spans="1:39" s="426" customFormat="true">
      <c r="A161" s="98">
        <v>160</v>
      </c>
      <c r="B161" s="99" t="s">
        <v>1017</v>
      </c>
      <c r="C161" s="132">
        <v>46094.4308912037</v>
      </c>
      <c r="D161" s="148">
        <v>12</v>
      </c>
      <c r="E161" s="118">
        <v>46094</v>
      </c>
      <c r="F161" s="98" t="s">
        <v>224</v>
      </c>
      <c r="G161" s="154" t="s">
        <v>1018</v>
      </c>
      <c r="H161" s="101" t="s">
        <v>607</v>
      </c>
      <c r="I161" s="98" t="s">
        <v>609</v>
      </c>
      <c r="J161" s="98" t="s">
        <f>=_xlfn.TEXTJOIN("+",TRUE,_xlfn._xlws.FILTER(_xlfn.TEXTSPLIT(H161,,"+"),(_xlfn.TEXTSPLIT(H161,,"+")&lt;&gt;"埃米工具")*(_xlfn.TEXTSPLIT(H161,,"+")&lt;&gt;"埃米广告通")))</f>
        <v>607</v>
      </c>
      <c r="K161" s="100">
        <f>=EDATE(C161,D161)</f>
        <v>46459</v>
      </c>
      <c r="L161" s="100" t="s"/>
      <c r="M161" s="102" t="s"/>
      <c r="N161" s="101" t="s">
        <v>611</v>
      </c>
      <c r="O161" s="110" t="s">
        <v>961</v>
      </c>
      <c r="P161" s="103" t="s"/>
      <c r="Q161" s="111" t="s"/>
      <c r="R161" s="105" t="s"/>
      <c r="S161" s="105" t="s"/>
      <c r="T161" s="97" t="s"/>
      <c r="U161" s="97" t="s"/>
      <c r="V161" s="97" t="s"/>
      <c r="W161" s="97" t="s"/>
      <c r="X161" s="97" t="s"/>
      <c r="Y161" s="97" t="s"/>
      <c r="Z161" s="98" t="s"/>
      <c r="AA161" s="98" t="s"/>
      <c r="AB161" s="98" t="s"/>
      <c r="AC161" s="98" t="s"/>
      <c r="AD161" s="98" t="s"/>
      <c r="AE161" s="98" t="s"/>
      <c r="AF161" s="98" t="s"/>
      <c r="AG161" s="98" t="s"/>
      <c r="AH161" s="98" t="s"/>
      <c r="AI161" s="98" t="s"/>
      <c r="AJ161" s="98" t="s"/>
      <c r="AK161" s="97" t="s"/>
      <c r="AL161" s="97" t="s"/>
      <c r="AM161" s="97" t="s"/>
    </row>
    <row r="162" spans="1:39" s="426" customFormat="true">
      <c r="A162" s="98">
        <v>161</v>
      </c>
      <c r="B162" s="99" t="s">
        <v>83</v>
      </c>
      <c r="C162" s="132">
        <v>46094.4524884259</v>
      </c>
      <c r="D162" s="148">
        <v>12</v>
      </c>
      <c r="E162" s="118">
        <v>46094</v>
      </c>
      <c r="F162" s="98" t="s">
        <v>215</v>
      </c>
      <c r="G162" s="154" t="s">
        <v>1019</v>
      </c>
      <c r="H162" s="101" t="s">
        <v>12</v>
      </c>
      <c r="I162" s="98" t="s">
        <v>609</v>
      </c>
      <c r="J162" s="98" t="s">
        <f>=_xlfn.TEXTJOIN("+",TRUE,_xlfn._xlws.FILTER(_xlfn.TEXTSPLIT(H162,,"+"),(_xlfn.TEXTSPLIT(H162,,"+")&lt;&gt;"埃米工具")*(_xlfn.TEXTSPLIT(H162,,"+")&lt;&gt;"埃米广告通")))</f>
        <v>12</v>
      </c>
      <c r="K162" s="100">
        <f>=EDATE(C162,D162)</f>
        <v>46459</v>
      </c>
      <c r="L162" s="158">
        <v>46099</v>
      </c>
      <c r="M162" s="102" t="s">
        <v>1020</v>
      </c>
      <c r="N162" s="101" t="s">
        <v>611</v>
      </c>
      <c r="O162" s="110" t="s">
        <v>1021</v>
      </c>
      <c r="P162" s="103" t="s"/>
      <c r="Q162" s="111" t="s"/>
      <c r="R162" s="105" t="s"/>
      <c r="S162" s="105" t="s"/>
      <c r="T162" s="97" t="s"/>
      <c r="U162" s="97" t="s"/>
      <c r="V162" s="97" t="s"/>
      <c r="W162" s="97" t="s"/>
      <c r="X162" s="97" t="s"/>
      <c r="Y162" s="97" t="s"/>
      <c r="Z162" s="98" t="s"/>
      <c r="AA162" s="98" t="s"/>
      <c r="AB162" s="98" t="s"/>
      <c r="AC162" s="98" t="s"/>
      <c r="AD162" s="98" t="s"/>
      <c r="AE162" s="98" t="s"/>
      <c r="AF162" s="98" t="s"/>
      <c r="AG162" s="98" t="s"/>
      <c r="AH162" s="98" t="s"/>
      <c r="AI162" s="98" t="s"/>
      <c r="AJ162" s="98" t="s"/>
      <c r="AK162" s="97" t="s"/>
      <c r="AL162" s="97" t="s"/>
      <c r="AM162" s="97" t="s"/>
    </row>
    <row r="163" spans="1:39" s="426" customFormat="true">
      <c r="A163" s="98">
        <v>162</v>
      </c>
      <c r="B163" s="99" t="s">
        <v>1022</v>
      </c>
      <c r="C163" s="132">
        <v>46094.4649074074</v>
      </c>
      <c r="D163" s="148">
        <v>12</v>
      </c>
      <c r="E163" s="118">
        <v>46094</v>
      </c>
      <c r="F163" s="98" t="s">
        <v>234</v>
      </c>
      <c r="G163" s="154" t="s">
        <v>1023</v>
      </c>
      <c r="H163" s="101" t="s">
        <v>607</v>
      </c>
      <c r="I163" s="98" t="s">
        <v>609</v>
      </c>
      <c r="J163" s="98" t="s">
        <f>=_xlfn.TEXTJOIN("+",TRUE,_xlfn._xlws.FILTER(_xlfn.TEXTSPLIT(H163,,"+"),(_xlfn.TEXTSPLIT(H163,,"+")&lt;&gt;"埃米工具")*(_xlfn.TEXTSPLIT(H163,,"+")&lt;&gt;"埃米广告通")))</f>
        <v>607</v>
      </c>
      <c r="K163" s="100">
        <f>=EDATE(C163,D163)</f>
        <v>46459</v>
      </c>
      <c r="L163" s="100" t="s"/>
      <c r="M163" s="102" t="s"/>
      <c r="N163" s="101" t="s">
        <v>611</v>
      </c>
      <c r="O163" s="110" t="s">
        <v>703</v>
      </c>
      <c r="P163" s="103" t="s"/>
      <c r="Q163" s="111" t="s"/>
      <c r="R163" s="105" t="s"/>
      <c r="S163" s="105" t="s"/>
      <c r="T163" s="97" t="s"/>
      <c r="U163" s="97" t="s"/>
      <c r="V163" s="97" t="s"/>
      <c r="W163" s="97" t="s"/>
      <c r="X163" s="97" t="s"/>
      <c r="Y163" s="97" t="s"/>
      <c r="Z163" s="98" t="s"/>
      <c r="AA163" s="98" t="s"/>
      <c r="AB163" s="98" t="s"/>
      <c r="AC163" s="98" t="s"/>
      <c r="AD163" s="98" t="s"/>
      <c r="AE163" s="98" t="s"/>
      <c r="AF163" s="98" t="s"/>
      <c r="AG163" s="98" t="s"/>
      <c r="AH163" s="98" t="s"/>
      <c r="AI163" s="98" t="s"/>
      <c r="AJ163" s="98" t="s"/>
      <c r="AK163" s="97" t="s"/>
      <c r="AL163" s="97" t="s"/>
      <c r="AM163" s="97" t="s"/>
    </row>
    <row r="164" spans="1:39" s="426" customFormat="true">
      <c r="A164" s="98">
        <v>163</v>
      </c>
      <c r="B164" s="99" t="s">
        <v>84</v>
      </c>
      <c r="C164" s="132">
        <v>46094.5514814815</v>
      </c>
      <c r="D164" s="148">
        <v>12</v>
      </c>
      <c r="E164" s="118">
        <v>46094</v>
      </c>
      <c r="F164" s="98" t="s">
        <v>224</v>
      </c>
      <c r="G164" s="160" t="s">
        <v>1024</v>
      </c>
      <c r="H164" s="101" t="s">
        <v>12</v>
      </c>
      <c r="I164" s="98" t="s">
        <v>609</v>
      </c>
      <c r="J164" s="98" t="s">
        <f>=_xlfn.TEXTJOIN("+",TRUE,_xlfn._xlws.FILTER(_xlfn.TEXTSPLIT(H164,,"+"),(_xlfn.TEXTSPLIT(H164,,"+")&lt;&gt;"埃米工具")*(_xlfn.TEXTSPLIT(H164,,"+")&lt;&gt;"埃米广告通")))</f>
        <v>12</v>
      </c>
      <c r="K164" s="100">
        <f>=EDATE(C164,D164)</f>
        <v>46459</v>
      </c>
      <c r="L164" s="118">
        <v>46098</v>
      </c>
      <c r="M164" s="102" t="s">
        <v>647</v>
      </c>
      <c r="N164" s="101" t="s">
        <v>611</v>
      </c>
      <c r="O164" s="110" t="s">
        <v>703</v>
      </c>
      <c r="P164" s="103" t="s"/>
      <c r="Q164" s="111" t="s"/>
      <c r="R164" s="105" t="s"/>
      <c r="S164" s="105" t="s"/>
      <c r="T164" s="97" t="s"/>
      <c r="U164" s="97" t="s"/>
      <c r="V164" s="97" t="s"/>
      <c r="W164" s="97" t="s"/>
      <c r="X164" s="97" t="s"/>
      <c r="Y164" s="97" t="s"/>
      <c r="Z164" s="98" t="s"/>
      <c r="AA164" s="98" t="s"/>
      <c r="AB164" s="98" t="s"/>
      <c r="AC164" s="98" t="s"/>
      <c r="AD164" s="98" t="s"/>
      <c r="AE164" s="98" t="s"/>
      <c r="AF164" s="98" t="s"/>
      <c r="AG164" s="98" t="s"/>
      <c r="AH164" s="98" t="s"/>
      <c r="AI164" s="98" t="s"/>
      <c r="AJ164" s="98" t="s"/>
      <c r="AK164" s="97" t="s"/>
      <c r="AL164" s="97" t="s"/>
      <c r="AM164" s="97" t="s"/>
    </row>
    <row r="165" spans="1:39" s="426" customFormat="true">
      <c r="A165" s="98">
        <v>164</v>
      </c>
      <c r="B165" s="99" t="s">
        <v>1025</v>
      </c>
      <c r="C165" s="132">
        <v>46094.6977546296</v>
      </c>
      <c r="D165" s="148">
        <v>24</v>
      </c>
      <c r="E165" s="118">
        <v>46094</v>
      </c>
      <c r="F165" s="98" t="s">
        <v>236</v>
      </c>
      <c r="G165" s="154" t="s">
        <v>1026</v>
      </c>
      <c r="H165" s="101" t="s">
        <v>607</v>
      </c>
      <c r="I165" s="98" t="s">
        <v>646</v>
      </c>
      <c r="J165" s="98" t="s">
        <f>=_xlfn.TEXTJOIN("+",TRUE,_xlfn._xlws.FILTER(_xlfn.TEXTSPLIT(H165,,"+"),(_xlfn.TEXTSPLIT(H165,,"+")&lt;&gt;"埃米工具")*(_xlfn.TEXTSPLIT(H165,,"+")&lt;&gt;"埃米广告通")))</f>
        <v>607</v>
      </c>
      <c r="K165" s="100">
        <f>=EDATE(C165,D165)</f>
        <v>46825</v>
      </c>
      <c r="L165" s="100" t="s"/>
      <c r="M165" s="102" t="s"/>
      <c r="N165" s="101" t="s">
        <v>611</v>
      </c>
      <c r="O165" s="110" t="s">
        <v>1027</v>
      </c>
      <c r="P165" s="103" t="s"/>
      <c r="Q165" s="111" t="s"/>
      <c r="R165" s="105" t="s"/>
      <c r="S165" s="105" t="s"/>
      <c r="T165" s="97" t="s"/>
      <c r="U165" s="97" t="s"/>
      <c r="V165" s="97" t="s"/>
      <c r="W165" s="97" t="s"/>
      <c r="X165" s="97" t="s"/>
      <c r="Y165" s="97" t="s"/>
      <c r="Z165" s="98" t="s"/>
      <c r="AA165" s="98" t="s"/>
      <c r="AB165" s="98" t="s"/>
      <c r="AC165" s="98" t="s"/>
      <c r="AD165" s="98" t="s"/>
      <c r="AE165" s="98" t="s"/>
      <c r="AF165" s="98" t="s"/>
      <c r="AG165" s="98" t="s"/>
      <c r="AH165" s="98" t="s"/>
      <c r="AI165" s="98" t="s"/>
      <c r="AJ165" s="98" t="s"/>
      <c r="AK165" s="97" t="s"/>
      <c r="AL165" s="97" t="s"/>
      <c r="AM165" s="97" t="s"/>
    </row>
    <row r="166" spans="1:39" s="426" customFormat="true">
      <c r="A166" s="98">
        <v>165</v>
      </c>
      <c r="B166" s="99" t="s">
        <v>85</v>
      </c>
      <c r="C166" s="132">
        <v>46094.6848842593</v>
      </c>
      <c r="D166" s="148">
        <v>12</v>
      </c>
      <c r="E166" s="118">
        <v>46094</v>
      </c>
      <c r="F166" s="98" t="s">
        <v>236</v>
      </c>
      <c r="G166" s="154" t="s">
        <v>1028</v>
      </c>
      <c r="H166" s="101" t="s">
        <v>12</v>
      </c>
      <c r="I166" s="98" t="s">
        <v>609</v>
      </c>
      <c r="J166" s="98" t="s">
        <f>=_xlfn.TEXTJOIN("+",TRUE,_xlfn._xlws.FILTER(_xlfn.TEXTSPLIT(H166,,"+"),(_xlfn.TEXTSPLIT(H166,,"+")&lt;&gt;"埃米工具")*(_xlfn.TEXTSPLIT(H166,,"+")&lt;&gt;"埃米广告通")))</f>
        <v>12</v>
      </c>
      <c r="K166" s="100">
        <f>=EDATE(C166,D166)</f>
        <v>46459</v>
      </c>
      <c r="L166" s="118">
        <v>46100</v>
      </c>
      <c r="M166" s="102" t="s">
        <v>1029</v>
      </c>
      <c r="N166" s="101" t="s">
        <v>611</v>
      </c>
      <c r="O166" s="110" t="s"/>
      <c r="P166" s="103" t="s"/>
      <c r="Q166" s="111" t="s"/>
      <c r="R166" s="105" t="s"/>
      <c r="S166" s="105" t="s"/>
      <c r="T166" s="97" t="s"/>
      <c r="U166" s="97" t="s"/>
      <c r="V166" s="97" t="s"/>
      <c r="W166" s="97" t="s"/>
      <c r="X166" s="97" t="s"/>
      <c r="Y166" s="97" t="s"/>
      <c r="Z166" s="100" t="s"/>
      <c r="AA166" s="98" t="s"/>
      <c r="AB166" s="98" t="s"/>
      <c r="AC166" s="98" t="s"/>
      <c r="AD166" s="98" t="s"/>
      <c r="AE166" s="98" t="s"/>
      <c r="AF166" s="98" t="s"/>
      <c r="AG166" s="98" t="s"/>
      <c r="AH166" s="98" t="s"/>
      <c r="AI166" s="98" t="s"/>
      <c r="AJ166" s="98" t="s"/>
      <c r="AK166" s="97" t="s"/>
      <c r="AL166" s="97" t="s"/>
      <c r="AM166" s="97" t="s"/>
    </row>
    <row r="167" spans="1:39" s="426" customFormat="true">
      <c r="A167" s="98">
        <v>166</v>
      </c>
      <c r="B167" s="99" t="s">
        <v>86</v>
      </c>
      <c r="C167" s="132">
        <v>46094.6700347222</v>
      </c>
      <c r="D167" s="148">
        <v>12</v>
      </c>
      <c r="E167" s="118">
        <v>46094</v>
      </c>
      <c r="F167" s="98" t="s">
        <v>215</v>
      </c>
      <c r="G167" s="154" t="s">
        <v>1030</v>
      </c>
      <c r="H167" s="101" t="s">
        <v>606</v>
      </c>
      <c r="I167" s="98" t="s">
        <v>609</v>
      </c>
      <c r="J167" s="98" t="s">
        <f>=_xlfn.TEXTJOIN("+",TRUE,_xlfn._xlws.FILTER(_xlfn.TEXTSPLIT(H167,,"+"),(_xlfn.TEXTSPLIT(H167,,"+")&lt;&gt;"埃米工具")*(_xlfn.TEXTSPLIT(H167,,"+")&lt;&gt;"埃米广告通")))</f>
        <v>15</v>
      </c>
      <c r="K167" s="100">
        <f>=EDATE(C167,D167)</f>
        <v>46459</v>
      </c>
      <c r="L167" s="118">
        <v>46098</v>
      </c>
      <c r="M167" s="102" t="s">
        <v>818</v>
      </c>
      <c r="N167" s="101" t="s">
        <v>611</v>
      </c>
      <c r="O167" s="110" t="s">
        <v>214</v>
      </c>
      <c r="P167" s="103" t="s"/>
      <c r="Q167" s="111" t="s"/>
      <c r="R167" s="105" t="s"/>
      <c r="S167" s="105" t="s"/>
      <c r="T167" s="97" t="s"/>
      <c r="U167" s="97" t="s"/>
      <c r="V167" s="97" t="s"/>
      <c r="W167" s="97" t="s"/>
      <c r="X167" s="97" t="s"/>
      <c r="Y167" s="97" t="s"/>
      <c r="Z167" s="98" t="s"/>
      <c r="AA167" s="98" t="s"/>
      <c r="AB167" s="98" t="s"/>
      <c r="AC167" s="98" t="s"/>
      <c r="AD167" s="98" t="s"/>
      <c r="AE167" s="98" t="s"/>
      <c r="AF167" s="98" t="s"/>
      <c r="AG167" s="98" t="s"/>
      <c r="AH167" s="98" t="s"/>
      <c r="AI167" s="98" t="s"/>
      <c r="AJ167" s="98" t="s"/>
      <c r="AK167" s="97" t="s"/>
      <c r="AL167" s="97" t="s"/>
      <c r="AM167" s="97" t="s"/>
    </row>
    <row r="168" spans="1:39" s="426" customFormat="true">
      <c r="A168" s="98">
        <v>167</v>
      </c>
      <c r="B168" s="99" t="s">
        <v>1031</v>
      </c>
      <c r="C168" s="132">
        <v>46094.6617824074</v>
      </c>
      <c r="D168" s="148">
        <v>12</v>
      </c>
      <c r="E168" s="118">
        <v>46094</v>
      </c>
      <c r="F168" s="98" t="s">
        <v>224</v>
      </c>
      <c r="G168" s="154" t="s">
        <v>1032</v>
      </c>
      <c r="H168" s="101" t="s">
        <v>607</v>
      </c>
      <c r="I168" s="98" t="s">
        <v>609</v>
      </c>
      <c r="J168" s="98" t="s">
        <f>=_xlfn.TEXTJOIN("+",TRUE,_xlfn._xlws.FILTER(_xlfn.TEXTSPLIT(H168,,"+"),(_xlfn.TEXTSPLIT(H168,,"+")&lt;&gt;"埃米工具")*(_xlfn.TEXTSPLIT(H168,,"+")&lt;&gt;"埃米广告通")))</f>
        <v>607</v>
      </c>
      <c r="K168" s="100">
        <f>=EDATE(C168,D168)</f>
        <v>46459</v>
      </c>
      <c r="L168" s="100" t="s"/>
      <c r="M168" s="102" t="s"/>
      <c r="N168" s="101" t="s">
        <v>611</v>
      </c>
      <c r="O168" s="110" t="s">
        <v>961</v>
      </c>
      <c r="P168" s="103" t="s"/>
      <c r="Q168" s="111" t="s"/>
      <c r="R168" s="105" t="s"/>
      <c r="S168" s="105" t="s"/>
      <c r="T168" s="97" t="s"/>
      <c r="U168" s="97" t="s"/>
      <c r="V168" s="97" t="s"/>
      <c r="W168" s="97" t="s"/>
      <c r="X168" s="97" t="s"/>
      <c r="Y168" s="97" t="s"/>
      <c r="Z168" s="98" t="s"/>
      <c r="AA168" s="98" t="s"/>
      <c r="AB168" s="98" t="s"/>
      <c r="AC168" s="98" t="s"/>
      <c r="AD168" s="98" t="s"/>
      <c r="AE168" s="98" t="s"/>
      <c r="AF168" s="98" t="s"/>
      <c r="AG168" s="98" t="s"/>
      <c r="AH168" s="98" t="s"/>
      <c r="AI168" s="98" t="s"/>
      <c r="AJ168" s="98" t="s"/>
      <c r="AK168" s="97" t="s"/>
      <c r="AL168" s="97" t="s"/>
      <c r="AM168" s="97" t="s"/>
    </row>
    <row r="169" spans="1:39" s="426" customFormat="true">
      <c r="A169" s="98">
        <v>168</v>
      </c>
      <c r="B169" s="99" t="s">
        <v>88</v>
      </c>
      <c r="C169" s="132">
        <v>46094.6540972222</v>
      </c>
      <c r="D169" s="148">
        <v>12</v>
      </c>
      <c r="E169" s="118">
        <v>46094</v>
      </c>
      <c r="F169" s="98" t="s">
        <v>224</v>
      </c>
      <c r="G169" s="154" t="s">
        <v>1033</v>
      </c>
      <c r="H169" s="101" t="s">
        <v>606</v>
      </c>
      <c r="I169" s="98" t="s">
        <v>609</v>
      </c>
      <c r="J169" s="98" t="s">
        <f>=_xlfn.TEXTJOIN("+",TRUE,_xlfn._xlws.FILTER(_xlfn.TEXTSPLIT(H169,,"+"),(_xlfn.TEXTSPLIT(H169,,"+")&lt;&gt;"埃米工具")*(_xlfn.TEXTSPLIT(H169,,"+")&lt;&gt;"埃米广告通")))</f>
        <v>15</v>
      </c>
      <c r="K169" s="100">
        <f>=EDATE(C169,D169)</f>
        <v>46459</v>
      </c>
      <c r="L169" s="118">
        <v>46097</v>
      </c>
      <c r="M169" s="102" t="s">
        <v>1034</v>
      </c>
      <c r="N169" s="101" t="s">
        <v>611</v>
      </c>
      <c r="O169" s="110" t="s">
        <v>703</v>
      </c>
      <c r="P169" s="103" t="s"/>
      <c r="Q169" s="111" t="s"/>
      <c r="R169" s="105" t="s"/>
      <c r="S169" s="105" t="s"/>
      <c r="T169" s="97" t="s"/>
      <c r="U169" s="97" t="s"/>
      <c r="V169" s="97" t="s"/>
      <c r="W169" s="97" t="s"/>
      <c r="X169" s="97" t="s"/>
      <c r="Y169" s="97" t="s"/>
      <c r="Z169" s="98" t="s"/>
      <c r="AA169" s="98" t="s"/>
      <c r="AB169" s="98" t="s"/>
      <c r="AC169" s="98" t="s"/>
      <c r="AD169" s="98" t="s"/>
      <c r="AE169" s="98" t="s"/>
      <c r="AF169" s="98" t="s"/>
      <c r="AG169" s="98" t="s"/>
      <c r="AH169" s="98" t="s"/>
      <c r="AI169" s="98" t="s"/>
      <c r="AJ169" s="98" t="s"/>
      <c r="AK169" s="97" t="s"/>
      <c r="AL169" s="97" t="s"/>
      <c r="AM169" s="97" t="s"/>
    </row>
    <row r="170" spans="1:39" s="426" customFormat="true">
      <c r="A170" s="98">
        <v>169</v>
      </c>
      <c r="B170" s="99" t="s">
        <v>232</v>
      </c>
      <c r="C170" s="132">
        <v>46094.6365740741</v>
      </c>
      <c r="D170" s="148">
        <v>12</v>
      </c>
      <c r="E170" s="118">
        <v>46094</v>
      </c>
      <c r="F170" s="98" t="s">
        <v>224</v>
      </c>
      <c r="G170" s="154" t="s">
        <v>1035</v>
      </c>
      <c r="H170" s="101" t="s">
        <v>607</v>
      </c>
      <c r="I170" s="98" t="s">
        <v>609</v>
      </c>
      <c r="J170" s="98" t="s">
        <f>=_xlfn.TEXTJOIN("+",TRUE,_xlfn._xlws.FILTER(_xlfn.TEXTSPLIT(H170,,"+"),(_xlfn.TEXTSPLIT(H170,,"+")&lt;&gt;"埃米工具")*(_xlfn.TEXTSPLIT(H170,,"+")&lt;&gt;"埃米广告通")))</f>
        <v>607</v>
      </c>
      <c r="K170" s="100">
        <f>=EDATE(C170,D170)</f>
        <v>46459</v>
      </c>
      <c r="L170" s="100" t="s"/>
      <c r="M170" s="102" t="s"/>
      <c r="N170" s="101" t="s">
        <v>611</v>
      </c>
      <c r="O170" s="103" t="s">
        <v>703</v>
      </c>
      <c r="P170" s="103" t="s"/>
      <c r="Q170" s="111" t="s"/>
      <c r="R170" s="105" t="s"/>
      <c r="S170" s="105" t="s"/>
      <c r="T170" s="97" t="s"/>
      <c r="U170" s="97" t="s">
        <v>1036</v>
      </c>
      <c r="V170" s="97" t="s"/>
      <c r="W170" s="97" t="s"/>
      <c r="X170" s="97" t="s"/>
      <c r="Y170" s="97" t="s"/>
      <c r="Z170" s="98" t="s"/>
      <c r="AA170" s="98" t="s"/>
      <c r="AB170" s="98" t="s"/>
      <c r="AC170" s="98" t="s"/>
      <c r="AD170" s="98" t="s"/>
      <c r="AE170" s="98" t="s"/>
      <c r="AF170" s="98" t="s"/>
      <c r="AG170" s="98" t="s"/>
      <c r="AH170" s="98" t="s"/>
      <c r="AI170" s="98" t="s"/>
      <c r="AJ170" s="98" t="s"/>
      <c r="AK170" s="97" t="s"/>
      <c r="AL170" s="97" t="s"/>
      <c r="AM170" s="97" t="s"/>
    </row>
    <row r="171" spans="1:39" s="426" customFormat="true">
      <c r="A171" s="98">
        <v>170</v>
      </c>
      <c r="B171" s="99" t="s">
        <v>300</v>
      </c>
      <c r="C171" s="132">
        <v>46094.6117361111</v>
      </c>
      <c r="D171" s="148">
        <v>12</v>
      </c>
      <c r="E171" s="118">
        <v>46094</v>
      </c>
      <c r="F171" s="98" t="s">
        <v>234</v>
      </c>
      <c r="G171" s="154" t="s">
        <v>1037</v>
      </c>
      <c r="H171" s="101" t="s">
        <v>607</v>
      </c>
      <c r="I171" s="98" t="s">
        <v>609</v>
      </c>
      <c r="J171" s="98" t="s">
        <f>=_xlfn.TEXTJOIN("+",TRUE,_xlfn._xlws.FILTER(_xlfn.TEXTSPLIT(H171,,"+"),(_xlfn.TEXTSPLIT(H171,,"+")&lt;&gt;"埃米工具")*(_xlfn.TEXTSPLIT(H171,,"+")&lt;&gt;"埃米广告通")))</f>
        <v>607</v>
      </c>
      <c r="K171" s="100">
        <f>=EDATE(C171,D171)</f>
        <v>46459</v>
      </c>
      <c r="L171" s="100" t="s"/>
      <c r="M171" s="102" t="s"/>
      <c r="N171" s="101" t="s">
        <v>611</v>
      </c>
      <c r="O171" s="110" t="s">
        <v>670</v>
      </c>
      <c r="P171" s="103" t="s"/>
      <c r="Q171" s="111" t="s"/>
      <c r="R171" s="105" t="s"/>
      <c r="S171" s="105" t="s"/>
      <c r="T171" s="97" t="s"/>
      <c r="U171" s="97" t="s"/>
      <c r="V171" s="97" t="s"/>
      <c r="W171" s="97" t="s"/>
      <c r="X171" s="97" t="s"/>
      <c r="Y171" s="97" t="s"/>
      <c r="Z171" s="98" t="s"/>
      <c r="AA171" s="98" t="s"/>
      <c r="AB171" s="98" t="s"/>
      <c r="AC171" s="98" t="s"/>
      <c r="AD171" s="98" t="s"/>
      <c r="AE171" s="98" t="s"/>
      <c r="AF171" s="98" t="s"/>
      <c r="AG171" s="98" t="s"/>
      <c r="AH171" s="98" t="s"/>
      <c r="AI171" s="98" t="s"/>
      <c r="AJ171" s="98" t="s"/>
      <c r="AK171" s="97" t="s"/>
      <c r="AL171" s="97" t="s"/>
      <c r="AM171" s="97" t="s"/>
    </row>
    <row r="172" spans="1:39" s="426" customFormat="true">
      <c r="A172" s="98">
        <v>171</v>
      </c>
      <c r="B172" s="99" t="s">
        <v>90</v>
      </c>
      <c r="C172" s="132">
        <v>46094.7055671296</v>
      </c>
      <c r="D172" s="148">
        <v>12</v>
      </c>
      <c r="E172" s="118">
        <v>46094</v>
      </c>
      <c r="F172" s="98" t="s">
        <v>234</v>
      </c>
      <c r="G172" s="154" t="s">
        <v>1038</v>
      </c>
      <c r="H172" s="101" t="s">
        <v>12</v>
      </c>
      <c r="I172" s="98" t="s">
        <v>609</v>
      </c>
      <c r="J172" s="98" t="s">
        <f>=_xlfn.TEXTJOIN("+",TRUE,_xlfn._xlws.FILTER(_xlfn.TEXTSPLIT(H172,,"+"),(_xlfn.TEXTSPLIT(H172,,"+")&lt;&gt;"埃米工具")*(_xlfn.TEXTSPLIT(H172,,"+")&lt;&gt;"埃米广告通")))</f>
        <v>12</v>
      </c>
      <c r="K172" s="100">
        <f>=EDATE(C172,D172)</f>
        <v>46459</v>
      </c>
      <c r="L172" s="118">
        <v>46097</v>
      </c>
      <c r="M172" s="102" t="s">
        <v>1039</v>
      </c>
      <c r="N172" s="101" t="s">
        <v>611</v>
      </c>
      <c r="O172" s="110" t="s">
        <v>1040</v>
      </c>
      <c r="P172" s="103" t="s"/>
      <c r="Q172" s="111" t="s"/>
      <c r="R172" s="105" t="s"/>
      <c r="S172" s="105" t="s"/>
      <c r="T172" s="97" t="s"/>
      <c r="U172" s="97" t="s"/>
      <c r="V172" s="97" t="s"/>
      <c r="W172" s="97" t="s"/>
      <c r="X172" s="97" t="s"/>
      <c r="Y172" s="97" t="s"/>
      <c r="Z172" s="98" t="s"/>
      <c r="AA172" s="98" t="s"/>
      <c r="AB172" s="98" t="s"/>
      <c r="AC172" s="98" t="s"/>
      <c r="AD172" s="98" t="s"/>
      <c r="AE172" s="98" t="s"/>
      <c r="AF172" s="98" t="s"/>
      <c r="AG172" s="98" t="s"/>
      <c r="AH172" s="98" t="s"/>
      <c r="AI172" s="98" t="s"/>
      <c r="AJ172" s="98" t="s"/>
      <c r="AK172" s="97" t="s"/>
      <c r="AL172" s="97" t="s"/>
      <c r="AM172" s="97" t="s"/>
    </row>
    <row r="173" spans="1:39" s="426" customFormat="true">
      <c r="A173" s="98">
        <v>172</v>
      </c>
      <c r="B173" s="99" t="s">
        <v>219</v>
      </c>
      <c r="C173" s="132">
        <v>46094.6818518519</v>
      </c>
      <c r="D173" s="148">
        <v>12</v>
      </c>
      <c r="E173" s="118">
        <v>46094</v>
      </c>
      <c r="F173" s="98" t="s">
        <v>215</v>
      </c>
      <c r="G173" s="154" t="s">
        <v>1041</v>
      </c>
      <c r="H173" s="101" t="s">
        <v>607</v>
      </c>
      <c r="I173" s="98" t="s">
        <v>609</v>
      </c>
      <c r="J173" s="98" t="s">
        <f>=_xlfn.TEXTJOIN("+",TRUE,_xlfn._xlws.FILTER(_xlfn.TEXTSPLIT(H173,,"+"),(_xlfn.TEXTSPLIT(H173,,"+")&lt;&gt;"埃米工具")*(_xlfn.TEXTSPLIT(H173,,"+")&lt;&gt;"埃米广告通")))</f>
        <v>607</v>
      </c>
      <c r="K173" s="100">
        <f>=EDATE(C173,D173)</f>
        <v>46459</v>
      </c>
      <c r="L173" s="100" t="s"/>
      <c r="M173" s="102" t="s"/>
      <c r="N173" s="101" t="s">
        <v>611</v>
      </c>
      <c r="O173" s="110" t="s">
        <v>214</v>
      </c>
      <c r="P173" s="103" t="s"/>
      <c r="Q173" s="111" t="s"/>
      <c r="R173" s="105" t="s"/>
      <c r="S173" s="105" t="s"/>
      <c r="T173" s="97" t="s"/>
      <c r="U173" s="97" t="s"/>
      <c r="V173" s="97" t="s"/>
      <c r="W173" s="97" t="s"/>
      <c r="X173" s="97" t="s"/>
      <c r="Y173" s="97" t="s"/>
      <c r="Z173" s="98" t="s"/>
      <c r="AA173" s="98" t="s"/>
      <c r="AB173" s="98" t="s"/>
      <c r="AC173" s="98" t="s"/>
      <c r="AD173" s="98" t="s"/>
      <c r="AE173" s="98" t="s"/>
      <c r="AF173" s="98" t="s"/>
      <c r="AG173" s="98" t="s"/>
      <c r="AH173" s="98" t="s"/>
      <c r="AI173" s="98" t="s"/>
      <c r="AJ173" s="98" t="s"/>
      <c r="AK173" s="97" t="s"/>
      <c r="AL173" s="97" t="s"/>
      <c r="AM173" s="97" t="s"/>
    </row>
    <row r="174" spans="1:39" s="426" customFormat="true">
      <c r="A174" s="98">
        <v>173</v>
      </c>
      <c r="B174" s="99" t="s">
        <v>1042</v>
      </c>
      <c r="C174" s="132">
        <v>46094.6168055556</v>
      </c>
      <c r="D174" s="148">
        <v>12</v>
      </c>
      <c r="E174" s="118">
        <v>46094</v>
      </c>
      <c r="F174" s="98" t="s">
        <v>236</v>
      </c>
      <c r="G174" s="154" t="s">
        <v>1043</v>
      </c>
      <c r="H174" s="101" t="s">
        <v>607</v>
      </c>
      <c r="I174" s="98" t="s">
        <v>609</v>
      </c>
      <c r="J174" s="98" t="s">
        <f>=_xlfn.TEXTJOIN("+",TRUE,_xlfn._xlws.FILTER(_xlfn.TEXTSPLIT(H174,,"+"),(_xlfn.TEXTSPLIT(H174,,"+")&lt;&gt;"埃米工具")*(_xlfn.TEXTSPLIT(H174,,"+")&lt;&gt;"埃米广告通")))</f>
        <v>607</v>
      </c>
      <c r="K174" s="100">
        <f>=EDATE(C174,D174)</f>
        <v>46459</v>
      </c>
      <c r="L174" s="100" t="s"/>
      <c r="M174" s="102" t="s"/>
      <c r="N174" s="101" t="s">
        <v>611</v>
      </c>
      <c r="O174" s="110" t="s"/>
      <c r="P174" s="103" t="s"/>
      <c r="Q174" s="111" t="s"/>
      <c r="R174" s="105" t="s"/>
      <c r="S174" s="105" t="s"/>
      <c r="T174" s="97" t="s"/>
      <c r="U174" s="97" t="s"/>
      <c r="V174" s="97" t="s"/>
      <c r="W174" s="97" t="s"/>
      <c r="X174" s="97" t="s"/>
      <c r="Y174" s="97" t="s"/>
      <c r="Z174" s="100" t="s"/>
      <c r="AA174" s="98" t="s"/>
      <c r="AB174" s="98" t="s"/>
      <c r="AC174" s="98" t="s"/>
      <c r="AD174" s="98" t="s"/>
      <c r="AE174" s="98" t="s"/>
      <c r="AF174" s="98" t="s"/>
      <c r="AG174" s="98" t="s"/>
      <c r="AH174" s="98" t="s"/>
      <c r="AI174" s="98" t="s"/>
      <c r="AJ174" s="98" t="s"/>
      <c r="AK174" s="97" t="s"/>
      <c r="AL174" s="97" t="s"/>
      <c r="AM174" s="97" t="s"/>
    </row>
    <row r="175" spans="1:39" s="426" customFormat="true">
      <c r="A175" s="98">
        <v>174</v>
      </c>
      <c r="B175" s="99" t="s">
        <v>91</v>
      </c>
      <c r="C175" s="132">
        <v>46093.7365162037</v>
      </c>
      <c r="D175" s="148">
        <v>12</v>
      </c>
      <c r="E175" s="118">
        <v>46097</v>
      </c>
      <c r="F175" s="98" t="s">
        <v>224</v>
      </c>
      <c r="G175" s="154" t="s">
        <v>1044</v>
      </c>
      <c r="H175" s="101" t="s">
        <v>12</v>
      </c>
      <c r="I175" s="98" t="s">
        <v>609</v>
      </c>
      <c r="J175" s="98" t="s">
        <f>=_xlfn.TEXTJOIN("+",TRUE,_xlfn._xlws.FILTER(_xlfn.TEXTSPLIT(H175,,"+"),(_xlfn.TEXTSPLIT(H175,,"+")&lt;&gt;"埃米工具")*(_xlfn.TEXTSPLIT(H175,,"+")&lt;&gt;"埃米广告通")))</f>
        <v>12</v>
      </c>
      <c r="K175" s="100">
        <f>=EDATE(C175,D175)</f>
        <v>46458</v>
      </c>
      <c r="L175" s="158">
        <v>46099</v>
      </c>
      <c r="M175" s="102" t="s">
        <v>1029</v>
      </c>
      <c r="N175" s="101" t="s">
        <v>611</v>
      </c>
      <c r="O175" s="110" t="s">
        <v>1045</v>
      </c>
      <c r="P175" s="103" t="s"/>
      <c r="Q175" s="111" t="s"/>
      <c r="R175" s="105" t="s"/>
      <c r="S175" s="105" t="s"/>
      <c r="T175" s="97" t="s"/>
      <c r="U175" s="97" t="s"/>
      <c r="V175" s="97" t="s"/>
      <c r="W175" s="97" t="s"/>
      <c r="X175" s="97" t="s"/>
      <c r="Y175" s="97" t="s"/>
      <c r="Z175" s="98" t="s"/>
      <c r="AA175" s="98" t="s"/>
      <c r="AB175" s="98" t="s"/>
      <c r="AC175" s="98" t="s"/>
      <c r="AD175" s="98" t="s"/>
      <c r="AE175" s="98" t="s"/>
      <c r="AF175" s="98" t="s"/>
      <c r="AG175" s="98" t="s"/>
      <c r="AH175" s="98" t="s"/>
      <c r="AI175" s="98" t="s"/>
      <c r="AJ175" s="98" t="s"/>
      <c r="AK175" s="97" t="s"/>
      <c r="AL175" s="97" t="s"/>
      <c r="AM175" s="97" t="s"/>
    </row>
    <row r="176" spans="1:39" s="426" customFormat="true">
      <c r="A176" s="97">
        <v>175</v>
      </c>
      <c r="B176" s="137" t="s">
        <v>226</v>
      </c>
      <c r="C176" s="146">
        <v>46093.7534490741</v>
      </c>
      <c r="D176" s="147">
        <v>12</v>
      </c>
      <c r="E176" s="120">
        <v>46097</v>
      </c>
      <c r="F176" s="97" t="s">
        <v>224</v>
      </c>
      <c r="G176" s="157" t="s">
        <v>1046</v>
      </c>
      <c r="H176" s="96" t="s">
        <v>607</v>
      </c>
      <c r="I176" s="97" t="s">
        <v>609</v>
      </c>
      <c r="J176" s="98" t="s">
        <f>=_xlfn.TEXTJOIN("+",TRUE,_xlfn._xlws.FILTER(_xlfn.TEXTSPLIT(H176,,"+"),(_xlfn.TEXTSPLIT(H176,,"+")&lt;&gt;"埃米工具")*(_xlfn.TEXTSPLIT(H176,,"+")&lt;&gt;"埃米广告通")))</f>
        <v>607</v>
      </c>
      <c r="K176" s="109">
        <f>=EDATE(C176,D176)</f>
        <v>46458</v>
      </c>
      <c r="L176" s="109" t="s"/>
      <c r="M176" s="102" t="s"/>
      <c r="N176" s="96" t="s">
        <v>611</v>
      </c>
      <c r="O176" s="110" t="s">
        <v>703</v>
      </c>
      <c r="P176" s="110" t="s"/>
      <c r="Q176" s="111" t="s"/>
      <c r="R176" s="105" t="s"/>
      <c r="S176" s="105" t="s"/>
      <c r="T176" s="97" t="s"/>
      <c r="U176" s="97" t="s"/>
      <c r="V176" s="97" t="s"/>
      <c r="W176" s="97" t="s"/>
      <c r="X176" s="97" t="s"/>
      <c r="Y176" s="97" t="s"/>
      <c r="Z176" s="97" t="s"/>
      <c r="AA176" s="97" t="s"/>
      <c r="AB176" s="97" t="s"/>
      <c r="AC176" s="97" t="s"/>
      <c r="AD176" s="97" t="s"/>
      <c r="AE176" s="97" t="s"/>
      <c r="AF176" s="97" t="s"/>
      <c r="AG176" s="97" t="s"/>
      <c r="AH176" s="97" t="s"/>
      <c r="AI176" s="97" t="s"/>
      <c r="AJ176" s="97" t="s"/>
      <c r="AK176" s="97" t="s"/>
      <c r="AL176" s="97" t="s"/>
      <c r="AM176" s="97" t="s"/>
    </row>
    <row r="177" spans="1:39" s="426" customFormat="true">
      <c r="A177" s="97">
        <v>176</v>
      </c>
      <c r="B177" s="137" t="s">
        <v>261</v>
      </c>
      <c r="C177" s="146">
        <v>46094.7225925926</v>
      </c>
      <c r="D177" s="147">
        <v>12</v>
      </c>
      <c r="E177" s="120">
        <v>46097</v>
      </c>
      <c r="F177" s="97" t="s">
        <v>224</v>
      </c>
      <c r="G177" s="157" t="s">
        <v>1047</v>
      </c>
      <c r="H177" s="96" t="s">
        <v>607</v>
      </c>
      <c r="I177" s="97" t="s">
        <v>609</v>
      </c>
      <c r="J177" s="98" t="s">
        <f>=_xlfn.TEXTJOIN("+",TRUE,_xlfn._xlws.FILTER(_xlfn.TEXTSPLIT(H177,,"+"),(_xlfn.TEXTSPLIT(H177,,"+")&lt;&gt;"埃米工具")*(_xlfn.TEXTSPLIT(H177,,"+")&lt;&gt;"埃米广告通")))</f>
        <v>607</v>
      </c>
      <c r="K177" s="109">
        <f>=EDATE(C177,D177)</f>
        <v>46459</v>
      </c>
      <c r="L177" s="109" t="s"/>
      <c r="M177" s="102" t="s"/>
      <c r="N177" s="96" t="s">
        <v>611</v>
      </c>
      <c r="O177" s="110" t="s">
        <v>703</v>
      </c>
      <c r="P177" s="110" t="s"/>
      <c r="Q177" s="111" t="s"/>
      <c r="R177" s="105" t="s"/>
      <c r="S177" s="105" t="s"/>
      <c r="T177" s="97" t="s"/>
      <c r="U177" s="97" t="s"/>
      <c r="V177" s="97" t="s"/>
      <c r="W177" s="97" t="s"/>
      <c r="X177" s="97" t="s"/>
      <c r="Y177" s="97" t="s"/>
      <c r="Z177" s="97" t="s"/>
      <c r="AA177" s="97" t="s"/>
      <c r="AB177" s="97" t="s"/>
      <c r="AC177" s="97" t="s"/>
      <c r="AD177" s="97" t="s"/>
      <c r="AE177" s="97" t="s"/>
      <c r="AF177" s="97" t="s"/>
      <c r="AG177" s="97" t="s"/>
      <c r="AH177" s="97" t="s"/>
      <c r="AI177" s="97" t="s"/>
      <c r="AJ177" s="97" t="s"/>
      <c r="AK177" s="97" t="s"/>
      <c r="AL177" s="97" t="s"/>
      <c r="AM177" s="97" t="s"/>
    </row>
    <row r="178" spans="1:39" s="426" customFormat="true">
      <c r="A178" s="97">
        <v>177</v>
      </c>
      <c r="B178" s="137" t="s">
        <v>166</v>
      </c>
      <c r="C178" s="146">
        <v>46112.3816319444</v>
      </c>
      <c r="D178" s="147">
        <v>12</v>
      </c>
      <c r="E178" s="120">
        <v>46112</v>
      </c>
      <c r="F178" s="97" t="s">
        <v>224</v>
      </c>
      <c r="G178" s="157" t="s">
        <v>1048</v>
      </c>
      <c r="H178" s="96" t="s">
        <v>12</v>
      </c>
      <c r="I178" s="97" t="s">
        <v>609</v>
      </c>
      <c r="J178" s="98" t="s">
        <f>=_xlfn.TEXTJOIN("+",TRUE,_xlfn._xlws.FILTER(_xlfn.TEXTSPLIT(H178,,"+"),(_xlfn.TEXTSPLIT(H178,,"+")&lt;&gt;"埃米工具")*(_xlfn.TEXTSPLIT(H178,,"+")&lt;&gt;"埃米广告通")))</f>
        <v>12</v>
      </c>
      <c r="K178" s="109">
        <f>=EDATE(C178,D178)</f>
        <v>46477</v>
      </c>
      <c r="L178" s="120">
        <v>46112</v>
      </c>
      <c r="M178" s="102" t="s">
        <v>1039</v>
      </c>
      <c r="N178" s="96" t="s">
        <v>611</v>
      </c>
      <c r="O178" s="110" t="s">
        <v>1045</v>
      </c>
      <c r="P178" s="110" t="s">
        <v>1049</v>
      </c>
      <c r="Q178" s="111" t="s"/>
      <c r="R178" s="105" t="s"/>
      <c r="S178" s="105" t="s"/>
      <c r="T178" s="97" t="s"/>
      <c r="U178" s="97" t="s"/>
      <c r="V178" s="97" t="s"/>
      <c r="W178" s="97" t="s"/>
      <c r="X178" s="97" t="s"/>
      <c r="Y178" s="97" t="s"/>
      <c r="Z178" s="109" t="s"/>
      <c r="AA178" s="97" t="s"/>
      <c r="AB178" s="97" t="s"/>
      <c r="AC178" s="97" t="s"/>
      <c r="AD178" s="97" t="s"/>
      <c r="AE178" s="97" t="s"/>
      <c r="AF178" s="97" t="s"/>
      <c r="AG178" s="97" t="s"/>
      <c r="AH178" s="97" t="s"/>
      <c r="AI178" s="97" t="s"/>
      <c r="AJ178" s="97" t="s"/>
      <c r="AK178" s="97" t="s"/>
      <c r="AL178" s="97" t="s"/>
      <c r="AM178" s="97" t="s"/>
    </row>
    <row r="179" spans="1:39" s="426" customFormat="true">
      <c r="A179" s="97">
        <v>178</v>
      </c>
      <c r="B179" s="137" t="s">
        <v>92</v>
      </c>
      <c r="C179" s="146">
        <v>46095.5993287037</v>
      </c>
      <c r="D179" s="147">
        <v>12</v>
      </c>
      <c r="E179" s="120">
        <v>46097</v>
      </c>
      <c r="F179" s="97" t="s">
        <v>224</v>
      </c>
      <c r="G179" s="157" t="s">
        <v>1050</v>
      </c>
      <c r="H179" s="96" t="s">
        <v>12</v>
      </c>
      <c r="I179" s="97" t="s">
        <v>646</v>
      </c>
      <c r="J179" s="98" t="s">
        <f>=_xlfn.TEXTJOIN("+",TRUE,_xlfn._xlws.FILTER(_xlfn.TEXTSPLIT(H179,,"+"),(_xlfn.TEXTSPLIT(H179,,"+")&lt;&gt;"埃米工具")*(_xlfn.TEXTSPLIT(H179,,"+")&lt;&gt;"埃米广告通")))</f>
        <v>12</v>
      </c>
      <c r="K179" s="109">
        <f>=EDATE(C179,D179)</f>
        <v>46460</v>
      </c>
      <c r="L179" s="120">
        <v>46097</v>
      </c>
      <c r="M179" s="102" t="s">
        <v>1013</v>
      </c>
      <c r="N179" s="96" t="s">
        <v>611</v>
      </c>
      <c r="O179" s="110" t="s">
        <v>703</v>
      </c>
      <c r="P179" s="110" t="s"/>
      <c r="Q179" s="111" t="s"/>
      <c r="R179" s="105" t="s"/>
      <c r="S179" s="105" t="s"/>
      <c r="T179" s="97" t="s"/>
      <c r="U179" s="97" t="s"/>
      <c r="V179" s="97" t="s"/>
      <c r="W179" s="97" t="s"/>
      <c r="X179" s="97" t="s"/>
      <c r="Y179" s="97" t="s"/>
      <c r="Z179" s="97" t="s"/>
      <c r="AA179" s="97" t="s"/>
      <c r="AB179" s="97" t="s"/>
      <c r="AC179" s="97" t="s"/>
      <c r="AD179" s="97" t="s"/>
      <c r="AE179" s="97" t="s"/>
      <c r="AF179" s="97" t="s"/>
      <c r="AG179" s="97" t="s"/>
      <c r="AH179" s="97" t="s"/>
      <c r="AI179" s="97" t="s"/>
      <c r="AJ179" s="97" t="s"/>
      <c r="AK179" s="97" t="s"/>
      <c r="AL179" s="97" t="s"/>
      <c r="AM179" s="97" t="s"/>
    </row>
    <row r="180" spans="1:39" s="426" customFormat="true">
      <c r="A180" s="97">
        <v>179</v>
      </c>
      <c r="B180" s="137" t="s">
        <v>246</v>
      </c>
      <c r="C180" s="146">
        <v>46094.7538194445</v>
      </c>
      <c r="D180" s="147">
        <v>12</v>
      </c>
      <c r="E180" s="120">
        <v>46097</v>
      </c>
      <c r="F180" s="97" t="s">
        <v>224</v>
      </c>
      <c r="G180" s="157" t="s">
        <v>1051</v>
      </c>
      <c r="H180" s="96" t="s">
        <v>607</v>
      </c>
      <c r="I180" s="97" t="s">
        <v>609</v>
      </c>
      <c r="J180" s="98" t="s">
        <f>=_xlfn.TEXTJOIN("+",TRUE,_xlfn._xlws.FILTER(_xlfn.TEXTSPLIT(H180,,"+"),(_xlfn.TEXTSPLIT(H180,,"+")&lt;&gt;"埃米工具")*(_xlfn.TEXTSPLIT(H180,,"+")&lt;&gt;"埃米广告通")))</f>
        <v>607</v>
      </c>
      <c r="K180" s="109">
        <f>=EDATE(C180,D180)</f>
        <v>46459</v>
      </c>
      <c r="L180" s="109" t="s"/>
      <c r="M180" s="102" t="s"/>
      <c r="N180" s="96" t="s">
        <v>611</v>
      </c>
      <c r="O180" s="110" t="s">
        <v>703</v>
      </c>
      <c r="P180" s="110" t="s"/>
      <c r="Q180" s="111" t="s"/>
      <c r="R180" s="105" t="s"/>
      <c r="S180" s="105" t="s"/>
      <c r="T180" s="97" t="s"/>
      <c r="U180" s="97" t="s"/>
      <c r="V180" s="97" t="s"/>
      <c r="W180" s="97" t="s"/>
      <c r="X180" s="97" t="s"/>
      <c r="Y180" s="97" t="s"/>
      <c r="Z180" s="97" t="s"/>
      <c r="AA180" s="97" t="s"/>
      <c r="AB180" s="97" t="s"/>
      <c r="AC180" s="97" t="s"/>
      <c r="AD180" s="97" t="s"/>
      <c r="AE180" s="97" t="s"/>
      <c r="AF180" s="97" t="s"/>
      <c r="AG180" s="97" t="s"/>
      <c r="AH180" s="97" t="s"/>
      <c r="AI180" s="97" t="s"/>
      <c r="AJ180" s="97" t="s"/>
      <c r="AK180" s="97" t="s"/>
      <c r="AL180" s="97" t="s"/>
      <c r="AM180" s="97" t="s"/>
    </row>
    <row r="181" spans="1:39" s="426" customFormat="true">
      <c r="A181" s="97">
        <v>180</v>
      </c>
      <c r="B181" s="137" t="s">
        <v>1052</v>
      </c>
      <c r="C181" s="146">
        <v>46094.7303703704</v>
      </c>
      <c r="D181" s="147">
        <v>12</v>
      </c>
      <c r="E181" s="120">
        <v>46097</v>
      </c>
      <c r="F181" s="97" t="s">
        <v>224</v>
      </c>
      <c r="G181" s="157" t="s">
        <v>1053</v>
      </c>
      <c r="H181" s="96" t="s">
        <v>607</v>
      </c>
      <c r="I181" s="97" t="s">
        <v>609</v>
      </c>
      <c r="J181" s="98" t="s">
        <f>=_xlfn.TEXTJOIN("+",TRUE,_xlfn._xlws.FILTER(_xlfn.TEXTSPLIT(H181,,"+"),(_xlfn.TEXTSPLIT(H181,,"+")&lt;&gt;"埃米工具")*(_xlfn.TEXTSPLIT(H181,,"+")&lt;&gt;"埃米广告通")))</f>
        <v>607</v>
      </c>
      <c r="K181" s="109">
        <f>=EDATE(C181,D181)</f>
        <v>46459</v>
      </c>
      <c r="L181" s="109" t="s"/>
      <c r="M181" s="102" t="s"/>
      <c r="N181" s="96" t="s">
        <v>611</v>
      </c>
      <c r="O181" s="110" t="s">
        <v>1054</v>
      </c>
      <c r="P181" s="110" t="s">
        <v>1055</v>
      </c>
      <c r="Q181" s="111" t="s"/>
      <c r="R181" s="105" t="s"/>
      <c r="S181" s="105" t="s"/>
      <c r="T181" s="97" t="s"/>
      <c r="U181" s="97" t="s"/>
      <c r="V181" s="97" t="s"/>
      <c r="W181" s="97" t="s"/>
      <c r="X181" s="97" t="s"/>
      <c r="Y181" s="97" t="s"/>
      <c r="Z181" s="97" t="s"/>
      <c r="AA181" s="97" t="s"/>
      <c r="AB181" s="97" t="s"/>
      <c r="AC181" s="97" t="s"/>
      <c r="AD181" s="97" t="s"/>
      <c r="AE181" s="97" t="s"/>
      <c r="AF181" s="97" t="s"/>
      <c r="AG181" s="97" t="s"/>
      <c r="AH181" s="97" t="s"/>
      <c r="AI181" s="97" t="s"/>
      <c r="AJ181" s="97" t="s"/>
      <c r="AK181" s="97" t="s"/>
      <c r="AL181" s="97" t="s"/>
      <c r="AM181" s="97" t="s"/>
    </row>
    <row r="182" spans="1:39" s="426" customFormat="true">
      <c r="A182" s="97">
        <v>181</v>
      </c>
      <c r="B182" s="137" t="s">
        <v>93</v>
      </c>
      <c r="C182" s="146">
        <v>46094.7617361111</v>
      </c>
      <c r="D182" s="147">
        <v>12</v>
      </c>
      <c r="E182" s="120">
        <v>46097</v>
      </c>
      <c r="F182" s="97" t="s">
        <v>224</v>
      </c>
      <c r="G182" s="157" t="s">
        <v>1056</v>
      </c>
      <c r="H182" s="96" t="s">
        <v>12</v>
      </c>
      <c r="I182" s="97" t="s">
        <v>609</v>
      </c>
      <c r="J182" s="98" t="s">
        <f>=_xlfn.TEXTJOIN("+",TRUE,_xlfn._xlws.FILTER(_xlfn.TEXTSPLIT(H182,,"+"),(_xlfn.TEXTSPLIT(H182,,"+")&lt;&gt;"埃米工具")*(_xlfn.TEXTSPLIT(H182,,"+")&lt;&gt;"埃米广告通")))</f>
        <v>12</v>
      </c>
      <c r="K182" s="109">
        <f>=EDATE(C182,D182)</f>
        <v>46459</v>
      </c>
      <c r="L182" s="137" t="s"/>
      <c r="M182" s="102" t="s"/>
      <c r="N182" s="96" t="s"/>
      <c r="O182" s="110" t="s"/>
      <c r="P182" s="110" t="s">
        <v>1057</v>
      </c>
      <c r="Q182" s="111" t="s"/>
      <c r="R182" s="105" t="s"/>
      <c r="S182" s="105" t="s"/>
      <c r="T182" s="97" t="s"/>
      <c r="U182" s="97" t="s"/>
      <c r="V182" s="97" t="s"/>
      <c r="W182" s="97" t="s"/>
      <c r="X182" s="97" t="s"/>
      <c r="Y182" s="97" t="s"/>
      <c r="Z182" s="109" t="s"/>
      <c r="AA182" s="97" t="s"/>
      <c r="AB182" s="97" t="s"/>
      <c r="AC182" s="97" t="s"/>
      <c r="AD182" s="97" t="s"/>
      <c r="AE182" s="97" t="s"/>
      <c r="AF182" s="97" t="s"/>
      <c r="AG182" s="97" t="s"/>
      <c r="AH182" s="97" t="s"/>
      <c r="AI182" s="97" t="s"/>
      <c r="AJ182" s="97" t="s"/>
      <c r="AK182" s="97" t="s"/>
      <c r="AL182" s="97" t="s"/>
      <c r="AM182" s="97" t="s"/>
    </row>
    <row r="183" spans="1:39" s="426" customFormat="true">
      <c r="A183" s="97">
        <v>182</v>
      </c>
      <c r="B183" s="137" t="s">
        <v>99</v>
      </c>
      <c r="C183" s="146">
        <v>46094.7449421296</v>
      </c>
      <c r="D183" s="147">
        <v>12</v>
      </c>
      <c r="E183" s="120">
        <v>46097</v>
      </c>
      <c r="F183" s="97" t="s">
        <v>236</v>
      </c>
      <c r="G183" s="157" t="s">
        <v>1058</v>
      </c>
      <c r="H183" s="96" t="s">
        <v>12</v>
      </c>
      <c r="I183" s="97" t="s">
        <v>609</v>
      </c>
      <c r="J183" s="98" t="s">
        <f>=_xlfn.TEXTJOIN("+",TRUE,_xlfn._xlws.FILTER(_xlfn.TEXTSPLIT(H183,,"+"),(_xlfn.TEXTSPLIT(H183,,"+")&lt;&gt;"埃米工具")*(_xlfn.TEXTSPLIT(H183,,"+")&lt;&gt;"埃米广告通")))</f>
        <v>12</v>
      </c>
      <c r="K183" s="109">
        <f>=EDATE(C183,D183)</f>
        <v>46459</v>
      </c>
      <c r="L183" s="161">
        <v>46100</v>
      </c>
      <c r="M183" s="102" t="s">
        <v>1059</v>
      </c>
      <c r="N183" s="96" t="s">
        <v>611</v>
      </c>
      <c r="O183" s="110" t="s"/>
      <c r="P183" s="110" t="s"/>
      <c r="Q183" s="111" t="s"/>
      <c r="R183" s="105" t="s"/>
      <c r="S183" s="105" t="s"/>
      <c r="T183" s="97" t="s"/>
      <c r="U183" s="97" t="s"/>
      <c r="V183" s="97" t="s"/>
      <c r="W183" s="97" t="s"/>
      <c r="X183" s="97" t="s"/>
      <c r="Y183" s="97" t="s"/>
      <c r="Z183" s="109" t="s"/>
      <c r="AA183" s="97" t="s"/>
      <c r="AB183" s="97" t="s"/>
      <c r="AC183" s="97" t="s"/>
      <c r="AD183" s="97" t="s"/>
      <c r="AE183" s="97" t="s"/>
      <c r="AF183" s="97" t="s"/>
      <c r="AG183" s="97" t="s"/>
      <c r="AH183" s="97" t="s"/>
      <c r="AI183" s="97" t="s"/>
      <c r="AJ183" s="97" t="s"/>
      <c r="AK183" s="97" t="s"/>
      <c r="AL183" s="97" t="s"/>
      <c r="AM183" s="97" t="s"/>
    </row>
    <row r="184" spans="1:39" s="426" customFormat="true">
      <c r="A184" s="97">
        <v>183</v>
      </c>
      <c r="B184" s="137" t="s">
        <v>1060</v>
      </c>
      <c r="C184" s="146">
        <v>46094.7610300926</v>
      </c>
      <c r="D184" s="147">
        <v>12</v>
      </c>
      <c r="E184" s="120">
        <v>46097</v>
      </c>
      <c r="F184" s="97" t="s">
        <v>236</v>
      </c>
      <c r="G184" s="157" t="s">
        <v>1061</v>
      </c>
      <c r="H184" s="96" t="s">
        <v>607</v>
      </c>
      <c r="I184" s="97" t="s">
        <v>609</v>
      </c>
      <c r="J184" s="98" t="s">
        <f>=_xlfn.TEXTJOIN("+",TRUE,_xlfn._xlws.FILTER(_xlfn.TEXTSPLIT(H184,,"+"),(_xlfn.TEXTSPLIT(H184,,"+")&lt;&gt;"埃米工具")*(_xlfn.TEXTSPLIT(H184,,"+")&lt;&gt;"埃米广告通")))</f>
        <v>607</v>
      </c>
      <c r="K184" s="109">
        <f>=EDATE(C184,D184)</f>
        <v>46459</v>
      </c>
      <c r="L184" s="109" t="s"/>
      <c r="M184" s="102" t="s"/>
      <c r="N184" s="96" t="s">
        <v>611</v>
      </c>
      <c r="O184" s="110" t="s"/>
      <c r="P184" s="110" t="s">
        <v>1062</v>
      </c>
      <c r="Q184" s="111" t="s"/>
      <c r="R184" s="105" t="s"/>
      <c r="S184" s="105" t="s"/>
      <c r="T184" s="97" t="s"/>
      <c r="U184" s="97" t="s"/>
      <c r="V184" s="97" t="s"/>
      <c r="W184" s="97" t="s"/>
      <c r="X184" s="97" t="s"/>
      <c r="Y184" s="97" t="s"/>
      <c r="Z184" s="109" t="s"/>
      <c r="AA184" s="97" t="s"/>
      <c r="AB184" s="97" t="s"/>
      <c r="AC184" s="97" t="s"/>
      <c r="AD184" s="97" t="s"/>
      <c r="AE184" s="97" t="s"/>
      <c r="AF184" s="97" t="s"/>
      <c r="AG184" s="97" t="s"/>
      <c r="AH184" s="97" t="s"/>
      <c r="AI184" s="97" t="s"/>
      <c r="AJ184" s="97" t="s"/>
      <c r="AK184" s="97" t="s"/>
      <c r="AL184" s="97" t="s"/>
      <c r="AM184" s="97" t="s"/>
    </row>
    <row r="185" spans="1:39" s="426" customFormat="true">
      <c r="A185" s="97">
        <v>184</v>
      </c>
      <c r="B185" s="137" t="s">
        <v>268</v>
      </c>
      <c r="C185" s="146">
        <v>46094.7557523148</v>
      </c>
      <c r="D185" s="147">
        <v>12</v>
      </c>
      <c r="E185" s="120">
        <v>46097</v>
      </c>
      <c r="F185" s="97" t="s">
        <v>236</v>
      </c>
      <c r="G185" s="157" t="s">
        <v>1063</v>
      </c>
      <c r="H185" s="96" t="s">
        <v>607</v>
      </c>
      <c r="I185" s="97" t="s">
        <v>609</v>
      </c>
      <c r="J185" s="98" t="s">
        <f>=_xlfn.TEXTJOIN("+",TRUE,_xlfn._xlws.FILTER(_xlfn.TEXTSPLIT(H185,,"+"),(_xlfn.TEXTSPLIT(H185,,"+")&lt;&gt;"埃米工具")*(_xlfn.TEXTSPLIT(H185,,"+")&lt;&gt;"埃米广告通")))</f>
        <v>607</v>
      </c>
      <c r="K185" s="109">
        <f>=EDATE(C185,D185)</f>
        <v>46459</v>
      </c>
      <c r="L185" s="109" t="s"/>
      <c r="M185" s="102" t="s"/>
      <c r="N185" s="96" t="s">
        <v>611</v>
      </c>
      <c r="O185" s="110" t="s">
        <v>703</v>
      </c>
      <c r="P185" s="110" t="s"/>
      <c r="Q185" s="111" t="s"/>
      <c r="R185" s="105" t="s"/>
      <c r="S185" s="105" t="s"/>
      <c r="T185" s="97" t="s"/>
      <c r="U185" s="97" t="s"/>
      <c r="V185" s="97" t="s"/>
      <c r="W185" s="97" t="s"/>
      <c r="X185" s="97" t="s"/>
      <c r="Y185" s="97" t="s"/>
      <c r="Z185" s="97" t="s"/>
      <c r="AA185" s="97" t="s"/>
      <c r="AB185" s="97" t="s"/>
      <c r="AC185" s="97" t="s"/>
      <c r="AD185" s="97" t="s"/>
      <c r="AE185" s="97" t="s"/>
      <c r="AF185" s="97" t="s"/>
      <c r="AG185" s="97" t="s"/>
      <c r="AH185" s="97" t="s"/>
      <c r="AI185" s="97" t="s"/>
      <c r="AJ185" s="97" t="s"/>
      <c r="AK185" s="97" t="s"/>
      <c r="AL185" s="97" t="s"/>
      <c r="AM185" s="97" t="s"/>
    </row>
    <row r="186" spans="1:39" s="426" customFormat="true">
      <c r="A186" s="97">
        <v>185</v>
      </c>
      <c r="B186" s="137" t="s">
        <v>1064</v>
      </c>
      <c r="C186" s="146">
        <v>46094.7580902778</v>
      </c>
      <c r="D186" s="147">
        <v>12</v>
      </c>
      <c r="E186" s="120">
        <v>46097</v>
      </c>
      <c r="F186" s="97" t="s">
        <v>236</v>
      </c>
      <c r="G186" s="157" t="s">
        <v>1065</v>
      </c>
      <c r="H186" s="96" t="s">
        <v>607</v>
      </c>
      <c r="I186" s="97" t="s">
        <v>609</v>
      </c>
      <c r="J186" s="98" t="s">
        <f>=_xlfn.TEXTJOIN("+",TRUE,_xlfn._xlws.FILTER(_xlfn.TEXTSPLIT(H186,,"+"),(_xlfn.TEXTSPLIT(H186,,"+")&lt;&gt;"埃米工具")*(_xlfn.TEXTSPLIT(H186,,"+")&lt;&gt;"埃米广告通")))</f>
        <v>607</v>
      </c>
      <c r="K186" s="109">
        <f>=EDATE(C186,D186)</f>
        <v>46459</v>
      </c>
      <c r="L186" s="109" t="s"/>
      <c r="M186" s="102" t="s"/>
      <c r="N186" s="96" t="s">
        <v>611</v>
      </c>
      <c r="O186" s="110" t="s"/>
      <c r="P186" s="110" t="s"/>
      <c r="Q186" s="111" t="s"/>
      <c r="R186" s="105" t="s"/>
      <c r="S186" s="105" t="s"/>
      <c r="T186" s="97" t="s"/>
      <c r="U186" s="97" t="s"/>
      <c r="V186" s="97" t="s"/>
      <c r="W186" s="97" t="s"/>
      <c r="X186" s="97" t="s"/>
      <c r="Y186" s="97" t="s"/>
      <c r="Z186" s="109" t="s"/>
      <c r="AA186" s="97" t="s"/>
      <c r="AB186" s="97" t="s"/>
      <c r="AC186" s="97" t="s"/>
      <c r="AD186" s="97" t="s"/>
      <c r="AE186" s="97" t="s"/>
      <c r="AF186" s="97" t="s"/>
      <c r="AG186" s="97" t="s"/>
      <c r="AH186" s="97" t="s"/>
      <c r="AI186" s="97" t="s"/>
      <c r="AJ186" s="97" t="s"/>
      <c r="AK186" s="97" t="s"/>
      <c r="AL186" s="97" t="s"/>
      <c r="AM186" s="97" t="s"/>
    </row>
    <row r="187" spans="1:39" s="426" customFormat="true">
      <c r="A187" s="97">
        <v>186</v>
      </c>
      <c r="B187" s="137" t="s">
        <v>1066</v>
      </c>
      <c r="C187" s="162">
        <v>46094.9550694445</v>
      </c>
      <c r="D187" s="147">
        <v>12</v>
      </c>
      <c r="E187" s="120">
        <v>46097</v>
      </c>
      <c r="F187" s="97" t="s">
        <v>236</v>
      </c>
      <c r="G187" s="157" t="s">
        <v>1067</v>
      </c>
      <c r="H187" s="96" t="s">
        <v>607</v>
      </c>
      <c r="I187" s="97" t="s">
        <v>609</v>
      </c>
      <c r="J187" s="98" t="s">
        <f>=_xlfn.TEXTJOIN("+",TRUE,_xlfn._xlws.FILTER(_xlfn.TEXTSPLIT(H187,,"+"),(_xlfn.TEXTSPLIT(H187,,"+")&lt;&gt;"埃米工具")*(_xlfn.TEXTSPLIT(H187,,"+")&lt;&gt;"埃米广告通")))</f>
        <v>607</v>
      </c>
      <c r="K187" s="109">
        <f>=EDATE(C187,D187)</f>
        <v>46459</v>
      </c>
      <c r="L187" s="109" t="s"/>
      <c r="M187" s="102" t="s"/>
      <c r="N187" s="96" t="s">
        <v>611</v>
      </c>
      <c r="O187" s="110" t="s"/>
      <c r="P187" s="110" t="s"/>
      <c r="Q187" s="111" t="s"/>
      <c r="R187" s="105" t="s"/>
      <c r="S187" s="105" t="s"/>
      <c r="T187" s="97" t="s"/>
      <c r="U187" s="97" t="s"/>
      <c r="V187" s="97" t="s"/>
      <c r="W187" s="97" t="s"/>
      <c r="X187" s="97" t="s"/>
      <c r="Y187" s="97" t="s"/>
      <c r="Z187" s="109" t="s"/>
      <c r="AA187" s="97" t="s"/>
      <c r="AB187" s="97" t="s"/>
      <c r="AC187" s="97" t="s"/>
      <c r="AD187" s="97" t="s"/>
      <c r="AE187" s="97" t="s"/>
      <c r="AF187" s="97" t="s"/>
      <c r="AG187" s="97" t="s"/>
      <c r="AH187" s="97" t="s"/>
      <c r="AI187" s="97" t="s"/>
      <c r="AJ187" s="97" t="s"/>
      <c r="AK187" s="97" t="s"/>
      <c r="AL187" s="97" t="s"/>
      <c r="AM187" s="97" t="s"/>
    </row>
    <row r="188" spans="1:39" s="426" customFormat="true">
      <c r="A188" s="97">
        <v>187</v>
      </c>
      <c r="B188" s="99" t="s">
        <v>298</v>
      </c>
      <c r="C188" s="132">
        <v>46094.7801157407</v>
      </c>
      <c r="D188" s="147">
        <v>12</v>
      </c>
      <c r="E188" s="120">
        <v>46097</v>
      </c>
      <c r="F188" s="97" t="s">
        <v>234</v>
      </c>
      <c r="G188" s="157" t="s">
        <v>1068</v>
      </c>
      <c r="H188" s="96" t="s">
        <v>607</v>
      </c>
      <c r="I188" s="97" t="s">
        <v>609</v>
      </c>
      <c r="J188" s="98" t="s">
        <f>=_xlfn.TEXTJOIN("+",TRUE,_xlfn._xlws.FILTER(_xlfn.TEXTSPLIT(H188,,"+"),(_xlfn.TEXTSPLIT(H188,,"+")&lt;&gt;"埃米工具")*(_xlfn.TEXTSPLIT(H188,,"+")&lt;&gt;"埃米广告通")))</f>
        <v>607</v>
      </c>
      <c r="K188" s="109">
        <f>=EDATE(C188,D188)</f>
        <v>46459</v>
      </c>
      <c r="L188" s="109" t="s"/>
      <c r="M188" s="102" t="s"/>
      <c r="N188" s="96" t="s">
        <v>611</v>
      </c>
      <c r="O188" s="110" t="s">
        <v>933</v>
      </c>
      <c r="P188" s="110" t="s"/>
      <c r="Q188" s="111" t="s"/>
      <c r="R188" s="105" t="s"/>
      <c r="S188" s="105" t="s"/>
      <c r="T188" s="97" t="s"/>
      <c r="U188" s="97" t="s"/>
      <c r="V188" s="97" t="s"/>
      <c r="W188" s="97" t="s"/>
      <c r="X188" s="97" t="s"/>
      <c r="Y188" s="97" t="s"/>
      <c r="Z188" s="97" t="s"/>
      <c r="AA188" s="97" t="s"/>
      <c r="AB188" s="97" t="s"/>
      <c r="AC188" s="97" t="s"/>
      <c r="AD188" s="97" t="s"/>
      <c r="AE188" s="97" t="s"/>
      <c r="AF188" s="97" t="s"/>
      <c r="AG188" s="97" t="s"/>
      <c r="AH188" s="97" t="s"/>
      <c r="AI188" s="97" t="s"/>
      <c r="AJ188" s="97" t="s"/>
      <c r="AK188" s="97" t="s"/>
      <c r="AL188" s="97" t="s"/>
      <c r="AM188" s="97" t="s"/>
    </row>
    <row r="189" spans="1:39" s="426" customFormat="true">
      <c r="A189" s="97">
        <v>188</v>
      </c>
      <c r="B189" s="137" t="s">
        <v>298</v>
      </c>
      <c r="C189" s="162">
        <v>46094.7794097222</v>
      </c>
      <c r="D189" s="147">
        <v>12</v>
      </c>
      <c r="E189" s="120">
        <v>46097</v>
      </c>
      <c r="F189" s="97" t="s">
        <v>234</v>
      </c>
      <c r="G189" s="157" t="s">
        <v>1068</v>
      </c>
      <c r="H189" s="96" t="s">
        <v>607</v>
      </c>
      <c r="I189" s="97" t="s">
        <v>609</v>
      </c>
      <c r="J189" s="98" t="s">
        <f>=_xlfn.TEXTJOIN("+",TRUE,_xlfn._xlws.FILTER(_xlfn.TEXTSPLIT(H189,,"+"),(_xlfn.TEXTSPLIT(H189,,"+")&lt;&gt;"埃米工具")*(_xlfn.TEXTSPLIT(H189,,"+")&lt;&gt;"埃米广告通")))</f>
        <v>607</v>
      </c>
      <c r="K189" s="109">
        <f>=EDATE(C189,D189)</f>
        <v>46459</v>
      </c>
      <c r="L189" s="109" t="s"/>
      <c r="M189" s="102" t="s"/>
      <c r="N189" s="96" t="s">
        <v>611</v>
      </c>
      <c r="O189" s="110" t="s">
        <v>933</v>
      </c>
      <c r="P189" s="110" t="s"/>
      <c r="Q189" s="111" t="s"/>
      <c r="R189" s="105" t="s"/>
      <c r="S189" s="105" t="s"/>
      <c r="T189" s="97" t="s"/>
      <c r="U189" s="97" t="s"/>
      <c r="V189" s="97" t="s"/>
      <c r="W189" s="97" t="s"/>
      <c r="X189" s="97" t="s"/>
      <c r="Y189" s="97" t="s"/>
      <c r="Z189" s="97" t="s"/>
      <c r="AA189" s="97" t="s"/>
      <c r="AB189" s="97" t="s"/>
      <c r="AC189" s="97" t="s"/>
      <c r="AD189" s="97" t="s"/>
      <c r="AE189" s="97" t="s"/>
      <c r="AF189" s="97" t="s"/>
      <c r="AG189" s="97" t="s"/>
      <c r="AH189" s="97" t="s"/>
      <c r="AI189" s="97" t="s"/>
      <c r="AJ189" s="97" t="s"/>
      <c r="AK189" s="97" t="s"/>
      <c r="AL189" s="97" t="s"/>
      <c r="AM189" s="97" t="s"/>
    </row>
    <row r="190" spans="1:39" s="426" customFormat="true">
      <c r="A190" s="97">
        <v>189</v>
      </c>
      <c r="B190" s="99" t="s">
        <v>1069</v>
      </c>
      <c r="C190" s="132">
        <v>46094.8656018519</v>
      </c>
      <c r="D190" s="147">
        <v>12</v>
      </c>
      <c r="E190" s="120">
        <v>46097</v>
      </c>
      <c r="F190" s="97" t="s">
        <v>215</v>
      </c>
      <c r="G190" s="157" t="s">
        <v>1070</v>
      </c>
      <c r="H190" s="96" t="s">
        <v>607</v>
      </c>
      <c r="I190" s="97" t="s">
        <v>609</v>
      </c>
      <c r="J190" s="98" t="s">
        <f>=_xlfn.TEXTJOIN("+",TRUE,_xlfn._xlws.FILTER(_xlfn.TEXTSPLIT(H190,,"+"),(_xlfn.TEXTSPLIT(H190,,"+")&lt;&gt;"埃米工具")*(_xlfn.TEXTSPLIT(H190,,"+")&lt;&gt;"埃米广告通")))</f>
        <v>607</v>
      </c>
      <c r="K190" s="109">
        <f>=EDATE(C190,D190)</f>
        <v>46459</v>
      </c>
      <c r="L190" s="109" t="s"/>
      <c r="M190" s="102" t="s"/>
      <c r="N190" s="96" t="s">
        <v>611</v>
      </c>
      <c r="O190" s="155" t="s">
        <v>1071</v>
      </c>
      <c r="P190" s="110" t="s"/>
      <c r="Q190" s="111" t="s"/>
      <c r="R190" s="105" t="s"/>
      <c r="S190" s="105" t="s"/>
      <c r="T190" s="97" t="s"/>
      <c r="U190" s="97" t="s"/>
      <c r="V190" s="97" t="s"/>
      <c r="W190" s="97" t="s"/>
      <c r="X190" s="97" t="s"/>
      <c r="Y190" s="97" t="s"/>
      <c r="Z190" s="97" t="s"/>
      <c r="AA190" s="97" t="s"/>
      <c r="AB190" s="97" t="s"/>
      <c r="AC190" s="97" t="s"/>
      <c r="AD190" s="97" t="s"/>
      <c r="AE190" s="97" t="s"/>
      <c r="AF190" s="97" t="s"/>
      <c r="AG190" s="97" t="s"/>
      <c r="AH190" s="97" t="s"/>
      <c r="AI190" s="97" t="s"/>
      <c r="AJ190" s="97" t="s"/>
      <c r="AK190" s="97" t="s"/>
      <c r="AL190" s="97" t="s"/>
      <c r="AM190" s="97" t="s"/>
    </row>
    <row r="191" spans="1:39" s="426" customFormat="true">
      <c r="A191" s="97">
        <v>190</v>
      </c>
      <c r="B191" s="137" t="s">
        <v>213</v>
      </c>
      <c r="C191" s="163">
        <v>46094.8656018519</v>
      </c>
      <c r="D191" s="147">
        <v>12</v>
      </c>
      <c r="E191" s="120">
        <v>46097</v>
      </c>
      <c r="F191" s="97" t="s">
        <v>215</v>
      </c>
      <c r="G191" s="157" t="s">
        <v>1072</v>
      </c>
      <c r="H191" s="96" t="s">
        <v>607</v>
      </c>
      <c r="I191" s="97" t="s">
        <v>609</v>
      </c>
      <c r="J191" s="98" t="s">
        <f>=_xlfn.TEXTJOIN("+",TRUE,_xlfn._xlws.FILTER(_xlfn.TEXTSPLIT(H191,,"+"),(_xlfn.TEXTSPLIT(H191,,"+")&lt;&gt;"埃米工具")*(_xlfn.TEXTSPLIT(H191,,"+")&lt;&gt;"埃米广告通")))</f>
        <v>607</v>
      </c>
      <c r="K191" s="109">
        <f>=EDATE(C191,D191)</f>
        <v>46459</v>
      </c>
      <c r="L191" s="109" t="s"/>
      <c r="M191" s="102" t="s"/>
      <c r="N191" s="96" t="s">
        <v>611</v>
      </c>
      <c r="O191" s="110" t="s">
        <v>214</v>
      </c>
      <c r="P191" s="110" t="s"/>
      <c r="Q191" s="111" t="s"/>
      <c r="R191" s="105" t="s"/>
      <c r="S191" s="105" t="s"/>
      <c r="T191" s="97" t="s"/>
      <c r="U191" s="97" t="s"/>
      <c r="V191" s="97" t="s"/>
      <c r="W191" s="97" t="s"/>
      <c r="X191" s="97" t="s"/>
      <c r="Y191" s="97" t="s"/>
      <c r="Z191" s="97" t="s"/>
      <c r="AA191" s="97" t="s"/>
      <c r="AB191" s="97" t="s"/>
      <c r="AC191" s="97" t="s"/>
      <c r="AD191" s="97" t="s"/>
      <c r="AE191" s="97" t="s"/>
      <c r="AF191" s="97" t="s"/>
      <c r="AG191" s="97" t="s"/>
      <c r="AH191" s="97" t="s"/>
      <c r="AI191" s="97" t="s"/>
      <c r="AJ191" s="97" t="s"/>
      <c r="AK191" s="97" t="s"/>
      <c r="AL191" s="97" t="s"/>
      <c r="AM191" s="97" t="s"/>
    </row>
    <row r="192" spans="1:39" s="426" customFormat="true" ht="21.75" customHeight="true">
      <c r="A192" s="97">
        <v>191</v>
      </c>
      <c r="B192" s="137" t="s">
        <v>1073</v>
      </c>
      <c r="C192" s="146">
        <v>46094.7468055556</v>
      </c>
      <c r="D192" s="147">
        <v>12</v>
      </c>
      <c r="E192" s="120">
        <v>46097</v>
      </c>
      <c r="F192" s="97" t="s">
        <v>215</v>
      </c>
      <c r="G192" s="157" t="s">
        <v>1074</v>
      </c>
      <c r="H192" s="96" t="s">
        <v>607</v>
      </c>
      <c r="I192" s="97" t="s">
        <v>609</v>
      </c>
      <c r="J192" s="98" t="s">
        <f>=_xlfn.TEXTJOIN("+",TRUE,_xlfn._xlws.FILTER(_xlfn.TEXTSPLIT(H192,,"+"),(_xlfn.TEXTSPLIT(H192,,"+")&lt;&gt;"埃米工具")*(_xlfn.TEXTSPLIT(H192,,"+")&lt;&gt;"埃米广告通")))</f>
        <v>607</v>
      </c>
      <c r="K192" s="109">
        <f>=EDATE(C192,D192)</f>
        <v>46459</v>
      </c>
      <c r="L192" s="109" t="s"/>
      <c r="M192" s="102" t="s"/>
      <c r="N192" s="96" t="s">
        <v>611</v>
      </c>
      <c r="O192" s="126" t="s">
        <v>1075</v>
      </c>
      <c r="P192" s="110" t="s"/>
      <c r="Q192" s="111" t="s">
        <v>791</v>
      </c>
      <c r="R192" s="105" t="s"/>
      <c r="S192" s="105" t="s"/>
      <c r="T192" s="97" t="s"/>
      <c r="U192" s="97" t="s"/>
      <c r="V192" s="97" t="s"/>
      <c r="W192" s="97" t="s"/>
      <c r="X192" s="97" t="s"/>
      <c r="Y192" s="97" t="s"/>
      <c r="Z192" s="97" t="s"/>
      <c r="AA192" s="97" t="s"/>
      <c r="AB192" s="97" t="s"/>
      <c r="AC192" s="97" t="s"/>
      <c r="AD192" s="97" t="s"/>
      <c r="AE192" s="97" t="s"/>
      <c r="AF192" s="97" t="s"/>
      <c r="AG192" s="97" t="s"/>
      <c r="AH192" s="97" t="s"/>
      <c r="AI192" s="97" t="s"/>
      <c r="AJ192" s="97" t="s"/>
      <c r="AK192" s="97" t="s"/>
      <c r="AL192" s="97" t="s"/>
      <c r="AM192" s="97" t="s"/>
    </row>
    <row r="193" spans="1:39" s="426" customFormat="true">
      <c r="A193" s="97">
        <v>192</v>
      </c>
      <c r="B193" s="137" t="s">
        <v>94</v>
      </c>
      <c r="C193" s="146">
        <v>46094.7614467593</v>
      </c>
      <c r="D193" s="147">
        <v>12</v>
      </c>
      <c r="E193" s="120">
        <v>46097</v>
      </c>
      <c r="F193" s="97" t="s">
        <v>215</v>
      </c>
      <c r="G193" s="157" t="s">
        <v>1076</v>
      </c>
      <c r="H193" s="96" t="s">
        <v>606</v>
      </c>
      <c r="I193" s="97" t="s">
        <v>609</v>
      </c>
      <c r="J193" s="98" t="s">
        <f>=_xlfn.TEXTJOIN("+",TRUE,_xlfn._xlws.FILTER(_xlfn.TEXTSPLIT(H193,,"+"),(_xlfn.TEXTSPLIT(H193,,"+")&lt;&gt;"埃米工具")*(_xlfn.TEXTSPLIT(H193,,"+")&lt;&gt;"埃米广告通")))</f>
        <v>15</v>
      </c>
      <c r="K193" s="109">
        <f>=EDATE(C193,D193)</f>
        <v>46459</v>
      </c>
      <c r="L193" s="161">
        <v>46112</v>
      </c>
      <c r="M193" s="102" t="s">
        <v>722</v>
      </c>
      <c r="N193" s="96" t="s">
        <v>611</v>
      </c>
      <c r="O193" s="110" t="s"/>
      <c r="P193" s="110" t="s">
        <v>1077</v>
      </c>
      <c r="Q193" s="111" t="s"/>
      <c r="R193" s="105" t="s"/>
      <c r="S193" s="105" t="s"/>
      <c r="T193" s="97" t="s"/>
      <c r="U193" s="97" t="s"/>
      <c r="V193" s="97" t="s"/>
      <c r="W193" s="97" t="s"/>
      <c r="X193" s="97" t="s"/>
      <c r="Y193" s="97" t="s"/>
      <c r="Z193" s="109" t="s"/>
      <c r="AA193" s="97" t="s"/>
      <c r="AB193" s="97" t="s"/>
      <c r="AC193" s="97" t="s"/>
      <c r="AD193" s="97" t="s"/>
      <c r="AE193" s="97" t="s"/>
      <c r="AF193" s="97" t="s"/>
      <c r="AG193" s="97" t="s"/>
      <c r="AH193" s="97" t="s"/>
      <c r="AI193" s="97" t="s"/>
      <c r="AJ193" s="97" t="s"/>
      <c r="AK193" s="97" t="s"/>
      <c r="AL193" s="97" t="s"/>
      <c r="AM193" s="97" t="s"/>
    </row>
    <row r="194" spans="1:39" s="426" customFormat="true">
      <c r="A194" s="97">
        <v>193</v>
      </c>
      <c r="B194" s="137" t="s">
        <v>96</v>
      </c>
      <c r="C194" s="146">
        <v>46094.7496296296</v>
      </c>
      <c r="D194" s="147">
        <v>12</v>
      </c>
      <c r="E194" s="120">
        <v>46097</v>
      </c>
      <c r="F194" s="97" t="s">
        <v>215</v>
      </c>
      <c r="G194" s="157" t="s">
        <v>1078</v>
      </c>
      <c r="H194" s="96" t="s">
        <v>12</v>
      </c>
      <c r="I194" s="97" t="s">
        <v>609</v>
      </c>
      <c r="J194" s="98" t="s">
        <f>=_xlfn.TEXTJOIN("+",TRUE,_xlfn._xlws.FILTER(_xlfn.TEXTSPLIT(H194,,"+"),(_xlfn.TEXTSPLIT(H194,,"+")&lt;&gt;"埃米工具")*(_xlfn.TEXTSPLIT(H194,,"+")&lt;&gt;"埃米广告通")))</f>
        <v>12</v>
      </c>
      <c r="K194" s="109">
        <f>=EDATE(C194,D194)</f>
        <v>46459</v>
      </c>
      <c r="L194" s="137" t="s"/>
      <c r="M194" s="102" t="s"/>
      <c r="N194" s="96" t="s">
        <v>611</v>
      </c>
      <c r="O194" s="126" t="s">
        <v>1075</v>
      </c>
      <c r="P194" s="110" t="s"/>
      <c r="Q194" s="111" t="s"/>
      <c r="R194" s="105" t="s"/>
      <c r="S194" s="105" t="s"/>
      <c r="T194" s="97" t="s"/>
      <c r="U194" s="97" t="s"/>
      <c r="V194" s="97" t="s"/>
      <c r="W194" s="97" t="s"/>
      <c r="X194" s="97" t="s"/>
      <c r="Y194" s="97" t="s"/>
      <c r="Z194" s="97" t="s"/>
      <c r="AA194" s="97" t="s"/>
      <c r="AB194" s="97" t="s"/>
      <c r="AC194" s="97" t="s"/>
      <c r="AD194" s="97" t="s"/>
      <c r="AE194" s="97" t="s"/>
      <c r="AF194" s="97" t="s"/>
      <c r="AG194" s="97" t="s"/>
      <c r="AH194" s="97" t="s"/>
      <c r="AI194" s="97" t="s"/>
      <c r="AJ194" s="97" t="s"/>
      <c r="AK194" s="97" t="s"/>
      <c r="AL194" s="97" t="s"/>
      <c r="AM194" s="97" t="s"/>
    </row>
    <row r="195" spans="1:39" s="426" customFormat="true">
      <c r="A195" s="97">
        <v>194</v>
      </c>
      <c r="B195" s="137" t="s">
        <v>97</v>
      </c>
      <c r="C195" s="162">
        <v>46094.7424768519</v>
      </c>
      <c r="D195" s="147">
        <v>12</v>
      </c>
      <c r="E195" s="120">
        <v>46097</v>
      </c>
      <c r="F195" s="97" t="s">
        <v>215</v>
      </c>
      <c r="G195" s="157" t="s">
        <v>1079</v>
      </c>
      <c r="H195" s="96" t="s">
        <v>12</v>
      </c>
      <c r="I195" s="97" t="s">
        <v>609</v>
      </c>
      <c r="J195" s="98" t="s">
        <f>=_xlfn.TEXTJOIN("+",TRUE,_xlfn._xlws.FILTER(_xlfn.TEXTSPLIT(H195,,"+"),(_xlfn.TEXTSPLIT(H195,,"+")&lt;&gt;"埃米工具")*(_xlfn.TEXTSPLIT(H195,,"+")&lt;&gt;"埃米广告通")))</f>
        <v>12</v>
      </c>
      <c r="K195" s="109">
        <f>=EDATE(C195,D195)</f>
        <v>46459</v>
      </c>
      <c r="L195" s="164">
        <v>46101</v>
      </c>
      <c r="M195" s="102" t="s">
        <v>610</v>
      </c>
      <c r="N195" s="96" t="s">
        <v>611</v>
      </c>
      <c r="O195" s="110" t="s"/>
      <c r="P195" s="110" t="s"/>
      <c r="Q195" s="111" t="s"/>
      <c r="R195" s="105" t="s"/>
      <c r="S195" s="105" t="s"/>
      <c r="T195" s="97" t="s"/>
      <c r="U195" s="97" t="s"/>
      <c r="V195" s="97" t="s"/>
      <c r="W195" s="97" t="s"/>
      <c r="X195" s="97" t="s"/>
      <c r="Y195" s="97" t="s"/>
      <c r="Z195" s="109" t="s"/>
      <c r="AA195" s="97" t="s"/>
      <c r="AB195" s="97" t="s"/>
      <c r="AC195" s="97" t="s"/>
      <c r="AD195" s="97" t="s"/>
      <c r="AE195" s="97" t="s"/>
      <c r="AF195" s="97" t="s"/>
      <c r="AG195" s="97" t="s"/>
      <c r="AH195" s="97" t="s"/>
      <c r="AI195" s="97" t="s"/>
      <c r="AJ195" s="97" t="s"/>
      <c r="AK195" s="97" t="s"/>
      <c r="AL195" s="97" t="s"/>
      <c r="AM195" s="97" t="s"/>
    </row>
    <row r="196" spans="1:39" s="426" customFormat="true">
      <c r="A196" s="97">
        <v>195</v>
      </c>
      <c r="B196" s="99" t="s">
        <v>1080</v>
      </c>
      <c r="C196" s="132">
        <v>46094.8734606482</v>
      </c>
      <c r="D196" s="147">
        <v>12</v>
      </c>
      <c r="E196" s="120">
        <v>46097</v>
      </c>
      <c r="F196" s="97" t="s">
        <v>234</v>
      </c>
      <c r="G196" s="157" t="s">
        <v>1081</v>
      </c>
      <c r="H196" s="96" t="s">
        <v>607</v>
      </c>
      <c r="I196" s="97" t="s">
        <v>609</v>
      </c>
      <c r="J196" s="98" t="s">
        <f>=_xlfn.TEXTJOIN("+",TRUE,_xlfn._xlws.FILTER(_xlfn.TEXTSPLIT(H196,,"+"),(_xlfn.TEXTSPLIT(H196,,"+")&lt;&gt;"埃米工具")*(_xlfn.TEXTSPLIT(H196,,"+")&lt;&gt;"埃米广告通")))</f>
        <v>607</v>
      </c>
      <c r="K196" s="109">
        <f>=EDATE(C196,D196)</f>
        <v>46459</v>
      </c>
      <c r="L196" s="109" t="s"/>
      <c r="M196" s="102" t="s"/>
      <c r="N196" s="96" t="s">
        <v>611</v>
      </c>
      <c r="O196" s="110" t="s">
        <v>1082</v>
      </c>
      <c r="P196" s="110" t="s"/>
      <c r="Q196" s="111" t="s"/>
      <c r="R196" s="105" t="s"/>
      <c r="S196" s="105" t="s"/>
      <c r="T196" s="97" t="s"/>
      <c r="U196" s="97" t="s"/>
      <c r="V196" s="97" t="s"/>
      <c r="W196" s="97" t="s"/>
      <c r="X196" s="97" t="s"/>
      <c r="Y196" s="97" t="s"/>
      <c r="Z196" s="97" t="s"/>
      <c r="AA196" s="97" t="s"/>
      <c r="AB196" s="97" t="s"/>
      <c r="AC196" s="97" t="s"/>
      <c r="AD196" s="97" t="s"/>
      <c r="AE196" s="97" t="s"/>
      <c r="AF196" s="97" t="s"/>
      <c r="AG196" s="97" t="s"/>
      <c r="AH196" s="97" t="s"/>
      <c r="AI196" s="97" t="s"/>
      <c r="AJ196" s="97" t="s"/>
      <c r="AK196" s="97" t="s"/>
      <c r="AL196" s="97" t="s"/>
      <c r="AM196" s="97" t="s"/>
    </row>
    <row r="197" spans="1:39" s="426" customFormat="true">
      <c r="A197" s="97">
        <v>196</v>
      </c>
      <c r="B197" s="137" t="s">
        <v>1083</v>
      </c>
      <c r="C197" s="146">
        <v>46094.8387268519</v>
      </c>
      <c r="D197" s="147">
        <v>12</v>
      </c>
      <c r="E197" s="120">
        <v>46097</v>
      </c>
      <c r="F197" s="97" t="s">
        <v>234</v>
      </c>
      <c r="G197" s="157" t="s">
        <v>1084</v>
      </c>
      <c r="H197" s="96" t="s">
        <v>607</v>
      </c>
      <c r="I197" s="97" t="s">
        <v>609</v>
      </c>
      <c r="J197" s="98" t="s">
        <f>=_xlfn.TEXTJOIN("+",TRUE,_xlfn._xlws.FILTER(_xlfn.TEXTSPLIT(H197,,"+"),(_xlfn.TEXTSPLIT(H197,,"+")&lt;&gt;"埃米工具")*(_xlfn.TEXTSPLIT(H197,,"+")&lt;&gt;"埃米广告通")))</f>
        <v>607</v>
      </c>
      <c r="K197" s="109">
        <f>=EDATE(C197,D197)</f>
        <v>46459</v>
      </c>
      <c r="L197" s="109" t="s"/>
      <c r="M197" s="102" t="s"/>
      <c r="N197" s="96" t="s">
        <v>611</v>
      </c>
      <c r="O197" s="110" t="s">
        <v>1082</v>
      </c>
      <c r="P197" s="110" t="s"/>
      <c r="Q197" s="111" t="s"/>
      <c r="R197" s="105" t="s"/>
      <c r="S197" s="105" t="s"/>
      <c r="T197" s="97" t="s"/>
      <c r="U197" s="97" t="s"/>
      <c r="V197" s="97" t="s"/>
      <c r="W197" s="97" t="s"/>
      <c r="X197" s="97" t="s"/>
      <c r="Y197" s="97" t="s"/>
      <c r="Z197" s="97" t="s"/>
      <c r="AA197" s="97" t="s"/>
      <c r="AB197" s="97" t="s"/>
      <c r="AC197" s="97" t="s"/>
      <c r="AD197" s="97" t="s"/>
      <c r="AE197" s="97" t="s"/>
      <c r="AF197" s="97" t="s"/>
      <c r="AG197" s="97" t="s"/>
      <c r="AH197" s="97" t="s"/>
      <c r="AI197" s="97" t="s"/>
      <c r="AJ197" s="97" t="s"/>
      <c r="AK197" s="97" t="s"/>
      <c r="AL197" s="97" t="s"/>
      <c r="AM197" s="97" t="s"/>
    </row>
    <row r="198" spans="1:39" s="426" customFormat="true">
      <c r="A198" s="97">
        <v>197</v>
      </c>
      <c r="B198" s="137" t="s">
        <v>98</v>
      </c>
      <c r="C198" s="146">
        <v>46094.7100694444</v>
      </c>
      <c r="D198" s="147">
        <v>12</v>
      </c>
      <c r="E198" s="120">
        <v>46097</v>
      </c>
      <c r="F198" s="97" t="s">
        <v>234</v>
      </c>
      <c r="G198" s="157" t="s">
        <v>1085</v>
      </c>
      <c r="H198" s="96" t="s">
        <v>12</v>
      </c>
      <c r="I198" s="97" t="s">
        <v>609</v>
      </c>
      <c r="J198" s="98" t="s">
        <f>=_xlfn.TEXTJOIN("+",TRUE,_xlfn._xlws.FILTER(_xlfn.TEXTSPLIT(H198,,"+"),(_xlfn.TEXTSPLIT(H198,,"+")&lt;&gt;"埃米工具")*(_xlfn.TEXTSPLIT(H198,,"+")&lt;&gt;"埃米广告通")))</f>
        <v>12</v>
      </c>
      <c r="K198" s="109">
        <f>=EDATE(C198,D198)</f>
        <v>46459</v>
      </c>
      <c r="L198" s="161">
        <v>46099</v>
      </c>
      <c r="M198" s="102" t="s">
        <v>610</v>
      </c>
      <c r="N198" s="96" t="s">
        <v>611</v>
      </c>
      <c r="O198" s="110" t="s">
        <v>703</v>
      </c>
      <c r="P198" s="110" t="s"/>
      <c r="Q198" s="111" t="s"/>
      <c r="R198" s="105" t="s"/>
      <c r="S198" s="105" t="s"/>
      <c r="T198" s="97" t="s"/>
      <c r="U198" s="97" t="s"/>
      <c r="V198" s="97" t="s"/>
      <c r="W198" s="97" t="s"/>
      <c r="X198" s="97" t="s"/>
      <c r="Y198" s="97" t="s"/>
      <c r="Z198" s="97" t="s"/>
      <c r="AA198" s="97" t="s"/>
      <c r="AB198" s="97" t="s"/>
      <c r="AC198" s="97" t="s"/>
      <c r="AD198" s="97" t="s"/>
      <c r="AE198" s="97" t="s"/>
      <c r="AF198" s="97" t="s"/>
      <c r="AG198" s="97" t="s"/>
      <c r="AH198" s="97" t="s"/>
      <c r="AI198" s="97" t="s"/>
      <c r="AJ198" s="97" t="s"/>
      <c r="AK198" s="97" t="s"/>
      <c r="AL198" s="97" t="s"/>
      <c r="AM198" s="97" t="s"/>
    </row>
    <row r="199" spans="1:39" s="426" customFormat="true">
      <c r="A199" s="97">
        <v>198</v>
      </c>
      <c r="B199" s="137" t="s">
        <v>1086</v>
      </c>
      <c r="C199" s="146">
        <v>46094.7169560185</v>
      </c>
      <c r="D199" s="147">
        <v>12</v>
      </c>
      <c r="E199" s="120">
        <v>46097</v>
      </c>
      <c r="F199" s="97" t="s">
        <v>234</v>
      </c>
      <c r="G199" s="157" t="s">
        <v>1087</v>
      </c>
      <c r="H199" s="96" t="s">
        <v>607</v>
      </c>
      <c r="I199" s="97" t="s">
        <v>609</v>
      </c>
      <c r="J199" s="98" t="s">
        <f>=_xlfn.TEXTJOIN("+",TRUE,_xlfn._xlws.FILTER(_xlfn.TEXTSPLIT(H199,,"+"),(_xlfn.TEXTSPLIT(H199,,"+")&lt;&gt;"埃米工具")*(_xlfn.TEXTSPLIT(H199,,"+")&lt;&gt;"埃米广告通")))</f>
        <v>607</v>
      </c>
      <c r="K199" s="109">
        <f>=EDATE(C199,D199)</f>
        <v>46459</v>
      </c>
      <c r="L199" s="109" t="s"/>
      <c r="M199" s="102" t="s"/>
      <c r="N199" s="96" t="s">
        <v>611</v>
      </c>
      <c r="O199" s="110" t="s">
        <v>1082</v>
      </c>
      <c r="P199" s="110" t="s"/>
      <c r="Q199" s="111" t="s"/>
      <c r="R199" s="105" t="s"/>
      <c r="S199" s="105" t="s"/>
      <c r="T199" s="97" t="s"/>
      <c r="U199" s="97" t="s"/>
      <c r="V199" s="97" t="s"/>
      <c r="W199" s="97" t="s"/>
      <c r="X199" s="97" t="s"/>
      <c r="Y199" s="97" t="s"/>
      <c r="Z199" s="97" t="s"/>
      <c r="AA199" s="97" t="s"/>
      <c r="AB199" s="97" t="s"/>
      <c r="AC199" s="97" t="s"/>
      <c r="AD199" s="97" t="s"/>
      <c r="AE199" s="97" t="s"/>
      <c r="AF199" s="97" t="s"/>
      <c r="AG199" s="97" t="s"/>
      <c r="AH199" s="97" t="s"/>
      <c r="AI199" s="97" t="s"/>
      <c r="AJ199" s="97" t="s"/>
      <c r="AK199" s="97" t="s"/>
      <c r="AL199" s="97" t="s"/>
      <c r="AM199" s="97" t="s"/>
    </row>
    <row r="200" spans="1:39" s="426" customFormat="true">
      <c r="A200" s="97">
        <v>199</v>
      </c>
      <c r="B200" s="137" t="s">
        <v>1088</v>
      </c>
      <c r="C200" s="146">
        <v>46094.7505555556</v>
      </c>
      <c r="D200" s="147">
        <v>12</v>
      </c>
      <c r="E200" s="120">
        <v>46097</v>
      </c>
      <c r="F200" s="97" t="s">
        <v>234</v>
      </c>
      <c r="G200" s="157" t="s">
        <v>1089</v>
      </c>
      <c r="H200" s="96" t="s">
        <v>607</v>
      </c>
      <c r="I200" s="97" t="s">
        <v>609</v>
      </c>
      <c r="J200" s="98" t="s">
        <f>=_xlfn.TEXTJOIN("+",TRUE,_xlfn._xlws.FILTER(_xlfn.TEXTSPLIT(H200,,"+"),(_xlfn.TEXTSPLIT(H200,,"+")&lt;&gt;"埃米工具")*(_xlfn.TEXTSPLIT(H200,,"+")&lt;&gt;"埃米广告通")))</f>
        <v>607</v>
      </c>
      <c r="K200" s="109">
        <f>=EDATE(C200,D200)</f>
        <v>46459</v>
      </c>
      <c r="L200" s="109" t="s"/>
      <c r="M200" s="102" t="s"/>
      <c r="N200" s="96" t="s">
        <v>611</v>
      </c>
      <c r="O200" s="110" t="s">
        <v>703</v>
      </c>
      <c r="P200" s="110" t="s"/>
      <c r="Q200" s="111" t="s"/>
      <c r="R200" s="105" t="s"/>
      <c r="S200" s="105" t="s"/>
      <c r="T200" s="97" t="s"/>
      <c r="U200" s="97" t="s"/>
      <c r="V200" s="97" t="s"/>
      <c r="W200" s="97" t="s"/>
      <c r="X200" s="97" t="s"/>
      <c r="Y200" s="97" t="s"/>
      <c r="Z200" s="97" t="s"/>
      <c r="AA200" s="97" t="s"/>
      <c r="AB200" s="97" t="s"/>
      <c r="AC200" s="97" t="s"/>
      <c r="AD200" s="97" t="s"/>
      <c r="AE200" s="97" t="s"/>
      <c r="AF200" s="97" t="s"/>
      <c r="AG200" s="97" t="s"/>
      <c r="AH200" s="97" t="s"/>
      <c r="AI200" s="97" t="s"/>
      <c r="AJ200" s="97" t="s"/>
      <c r="AK200" s="97" t="s"/>
      <c r="AL200" s="97" t="s"/>
      <c r="AM200" s="97" t="s"/>
    </row>
    <row r="201" spans="1:39" s="426" customFormat="true">
      <c r="A201" s="98">
        <v>200</v>
      </c>
      <c r="B201" s="165" t="s">
        <v>229</v>
      </c>
      <c r="C201" s="156">
        <v>46097.4008217593</v>
      </c>
      <c r="D201" s="148">
        <v>12</v>
      </c>
      <c r="E201" s="118">
        <v>46097</v>
      </c>
      <c r="F201" s="98" t="s">
        <v>224</v>
      </c>
      <c r="G201" s="39" t="s">
        <v>1090</v>
      </c>
      <c r="H201" s="101" t="s">
        <v>607</v>
      </c>
      <c r="I201" s="98" t="s">
        <v>609</v>
      </c>
      <c r="J201" s="98" t="s">
        <f>=_xlfn.TEXTJOIN("+",TRUE,_xlfn._xlws.FILTER(_xlfn.TEXTSPLIT(H201,,"+"),(_xlfn.TEXTSPLIT(H201,,"+")&lt;&gt;"埃米工具")*(_xlfn.TEXTSPLIT(H201,,"+")&lt;&gt;"埃米广告通")))</f>
        <v>607</v>
      </c>
      <c r="K201" s="100">
        <f>=EDATE(C201,D201)</f>
        <v>46462</v>
      </c>
      <c r="L201" s="100" t="s"/>
      <c r="M201" s="102" t="s"/>
      <c r="N201" s="101" t="s">
        <v>611</v>
      </c>
      <c r="O201" s="103" t="s">
        <v>703</v>
      </c>
      <c r="P201" s="103" t="s">
        <v>1091</v>
      </c>
      <c r="Q201" s="111" t="s"/>
      <c r="R201" s="105" t="s"/>
      <c r="S201" s="106" t="s"/>
      <c r="T201" s="98" t="s"/>
      <c r="U201" s="98" t="s"/>
      <c r="V201" s="98" t="s"/>
      <c r="W201" s="98" t="s"/>
      <c r="X201" s="98" t="s"/>
      <c r="Y201" s="98" t="s"/>
      <c r="Z201" s="98" t="s"/>
      <c r="AA201" s="98" t="s"/>
      <c r="AB201" s="98" t="s"/>
      <c r="AC201" s="98" t="s"/>
      <c r="AD201" s="98" t="s"/>
      <c r="AE201" s="98" t="s"/>
      <c r="AF201" s="98" t="s"/>
      <c r="AG201" s="98" t="s"/>
      <c r="AH201" s="98" t="s"/>
      <c r="AI201" s="98" t="s"/>
      <c r="AJ201" s="98" t="s"/>
      <c r="AK201" s="98" t="s"/>
      <c r="AL201" s="98" t="s"/>
      <c r="AM201" s="98" t="s"/>
    </row>
    <row r="202" spans="1:39" s="426" customFormat="true">
      <c r="A202" s="97">
        <v>201</v>
      </c>
      <c r="B202" s="166" t="s">
        <v>257</v>
      </c>
      <c r="C202" s="162">
        <v>46097.4561342593</v>
      </c>
      <c r="D202" s="167">
        <v>24</v>
      </c>
      <c r="E202" s="120">
        <v>46097</v>
      </c>
      <c r="F202" s="97" t="s">
        <v>224</v>
      </c>
      <c r="G202" s="39" t="s">
        <v>1092</v>
      </c>
      <c r="H202" s="96" t="s">
        <v>607</v>
      </c>
      <c r="I202" s="167" t="s">
        <v>646</v>
      </c>
      <c r="J202" s="97" t="s">
        <f>=_xlfn.TEXTJOIN("+",TRUE,_xlfn._xlws.FILTER(_xlfn.TEXTSPLIT(H202,,"+"),(_xlfn.TEXTSPLIT(H202,,"+")&lt;&gt;"埃米工具")*(_xlfn.TEXTSPLIT(H202,,"+")&lt;&gt;"埃米广告通")))</f>
        <v>607</v>
      </c>
      <c r="K202" s="109">
        <f>=EDATE(C202,D202)</f>
        <v>46828</v>
      </c>
      <c r="L202" s="168" t="s"/>
      <c r="M202" s="128" t="s"/>
      <c r="N202" s="96" t="s">
        <v>611</v>
      </c>
      <c r="O202" s="103" t="s">
        <v>703</v>
      </c>
      <c r="P202" s="110" t="s"/>
      <c r="Q202" s="111" t="s"/>
      <c r="R202" s="105" t="s"/>
      <c r="S202" s="105" t="s"/>
      <c r="T202" s="97" t="s"/>
      <c r="U202" s="97" t="s"/>
      <c r="V202" s="97" t="s"/>
      <c r="W202" s="97" t="s"/>
      <c r="X202" s="97" t="s"/>
      <c r="Y202" s="97" t="s"/>
      <c r="Z202" s="97" t="s"/>
      <c r="AA202" s="97" t="s"/>
      <c r="AB202" s="97" t="s"/>
      <c r="AC202" s="97" t="s"/>
      <c r="AD202" s="97" t="s"/>
      <c r="AE202" s="97" t="s"/>
      <c r="AF202" s="97" t="s"/>
      <c r="AG202" s="97" t="s"/>
      <c r="AH202" s="97" t="s"/>
      <c r="AI202" s="97" t="s"/>
      <c r="AJ202" s="97" t="s"/>
      <c r="AK202" s="97" t="s"/>
      <c r="AL202" s="97" t="s"/>
      <c r="AM202" s="97" t="s"/>
    </row>
    <row r="203" spans="1:39" s="426" customFormat="true">
      <c r="A203" s="97">
        <v>202</v>
      </c>
      <c r="B203" s="166" t="s">
        <v>1093</v>
      </c>
      <c r="C203" s="162">
        <v>46097.4476736111</v>
      </c>
      <c r="D203" s="167">
        <v>12</v>
      </c>
      <c r="E203" s="120">
        <v>46097</v>
      </c>
      <c r="F203" s="97" t="s">
        <v>224</v>
      </c>
      <c r="G203" s="39" t="s">
        <v>1094</v>
      </c>
      <c r="H203" s="96" t="s">
        <v>607</v>
      </c>
      <c r="I203" s="169" t="s">
        <v>609</v>
      </c>
      <c r="J203" s="97" t="s">
        <f>=_xlfn.TEXTJOIN("+",TRUE,_xlfn._xlws.FILTER(_xlfn.TEXTSPLIT(H203,,"+"),(_xlfn.TEXTSPLIT(H203,,"+")&lt;&gt;"埃米工具")*(_xlfn.TEXTSPLIT(H203,,"+")&lt;&gt;"埃米广告通")))</f>
        <v>607</v>
      </c>
      <c r="K203" s="109">
        <f>=EDATE(C203,D203)</f>
        <v>46462</v>
      </c>
      <c r="L203" s="39" t="s"/>
      <c r="M203" s="128" t="s"/>
      <c r="N203" s="96" t="s">
        <v>611</v>
      </c>
      <c r="O203" s="110" t="s"/>
      <c r="P203" s="170" t="s">
        <v>1095</v>
      </c>
      <c r="Q203" s="171" t="s">
        <v>791</v>
      </c>
      <c r="R203" s="172" t="s"/>
      <c r="S203" s="172" t="s"/>
      <c r="T203" s="168" t="s"/>
      <c r="U203" s="168" t="s"/>
      <c r="V203" s="162" t="s"/>
      <c r="W203" s="162" t="s"/>
      <c r="X203" s="168" t="s"/>
      <c r="Y203" s="166" t="s"/>
      <c r="Z203" s="109" t="s"/>
      <c r="AA203" s="97" t="s"/>
      <c r="AB203" s="97" t="s"/>
      <c r="AC203" s="97" t="s"/>
      <c r="AD203" s="97" t="s"/>
      <c r="AE203" s="97" t="s"/>
      <c r="AF203" s="97" t="s"/>
      <c r="AG203" s="97" t="s"/>
      <c r="AH203" s="97" t="s"/>
      <c r="AI203" s="97" t="s"/>
      <c r="AJ203" s="97" t="s"/>
      <c r="AK203" s="97" t="s"/>
      <c r="AL203" s="97" t="s"/>
      <c r="AM203" s="97" t="s"/>
    </row>
    <row r="204" spans="1:39" s="426" customFormat="true">
      <c r="A204" s="97">
        <v>203</v>
      </c>
      <c r="B204" s="165" t="s">
        <v>100</v>
      </c>
      <c r="C204" s="173">
        <v>46097.4398611111</v>
      </c>
      <c r="D204" s="169">
        <v>12</v>
      </c>
      <c r="E204" s="120">
        <v>46097</v>
      </c>
      <c r="F204" s="97" t="s">
        <v>224</v>
      </c>
      <c r="G204" s="39" t="s">
        <v>1096</v>
      </c>
      <c r="H204" s="96" t="s">
        <v>12</v>
      </c>
      <c r="I204" s="169" t="s">
        <v>646</v>
      </c>
      <c r="J204" s="97" t="s">
        <f>=_xlfn.TEXTJOIN("+",TRUE,_xlfn._xlws.FILTER(_xlfn.TEXTSPLIT(H204,,"+"),(_xlfn.TEXTSPLIT(H204,,"+")&lt;&gt;"埃米工具")*(_xlfn.TEXTSPLIT(H204,,"+")&lt;&gt;"埃米广告通")))</f>
        <v>12</v>
      </c>
      <c r="K204" s="109">
        <f>=EDATE(C204,D204)</f>
        <v>46462</v>
      </c>
      <c r="L204" s="158">
        <v>46099</v>
      </c>
      <c r="M204" s="128" t="s">
        <v>1097</v>
      </c>
      <c r="N204" s="96" t="s">
        <v>611</v>
      </c>
      <c r="O204" s="103" t="s">
        <v>703</v>
      </c>
      <c r="P204" s="170" t="s"/>
      <c r="Q204" s="171" t="s"/>
      <c r="R204" s="172" t="s"/>
      <c r="S204" s="172" t="s"/>
      <c r="T204" s="168" t="s"/>
      <c r="U204" s="168" t="s"/>
      <c r="V204" s="162" t="s"/>
      <c r="W204" s="162" t="s"/>
      <c r="X204" s="168" t="s"/>
      <c r="Y204" s="166" t="s"/>
      <c r="Z204" s="97" t="s"/>
      <c r="AA204" s="97" t="s"/>
      <c r="AB204" s="97" t="s"/>
      <c r="AC204" s="97" t="s"/>
      <c r="AD204" s="97" t="s"/>
      <c r="AE204" s="97" t="s"/>
      <c r="AF204" s="97" t="s"/>
      <c r="AG204" s="97" t="s"/>
      <c r="AH204" s="97" t="s"/>
      <c r="AI204" s="97" t="s"/>
      <c r="AJ204" s="97" t="s"/>
      <c r="AK204" s="97" t="s"/>
      <c r="AL204" s="97" t="s"/>
      <c r="AM204" s="97" t="s"/>
    </row>
    <row r="205" spans="1:39" s="426" customFormat="true" ht="197.25" customHeight="true">
      <c r="A205" s="97">
        <v>204</v>
      </c>
      <c r="B205" s="166" t="s">
        <v>101</v>
      </c>
      <c r="C205" s="174">
        <v>46097.6298611111</v>
      </c>
      <c r="D205" s="148">
        <v>12</v>
      </c>
      <c r="E205" s="120">
        <v>46097</v>
      </c>
      <c r="F205" s="97" t="s">
        <v>236</v>
      </c>
      <c r="G205" s="175" t="s">
        <v>1098</v>
      </c>
      <c r="H205" s="96" t="s">
        <v>606</v>
      </c>
      <c r="I205" s="98" t="s">
        <v>609</v>
      </c>
      <c r="J205" s="98" t="s">
        <f>=_xlfn.TEXTJOIN("+",TRUE,_xlfn._xlws.FILTER(_xlfn.TEXTSPLIT(H205,,"+"),(_xlfn.TEXTSPLIT(H205,,"+")&lt;&gt;"埃米工具")*(_xlfn.TEXTSPLIT(H205,,"+")&lt;&gt;"埃米广告通")))</f>
        <v>15</v>
      </c>
      <c r="K205" s="109">
        <f>=EDATE(C205,D205)</f>
        <v>46462</v>
      </c>
      <c r="L205" s="158">
        <v>46100</v>
      </c>
      <c r="M205" s="102" t="s">
        <v>1099</v>
      </c>
      <c r="N205" s="96" t="s">
        <v>611</v>
      </c>
      <c r="O205" s="39" t="s">
        <v>899</v>
      </c>
      <c r="P205" s="153" t="s">
        <v>1706</v>
      </c>
      <c r="Q205" s="171" t="s"/>
      <c r="R205" s="172" t="s"/>
      <c r="S205" s="176" t="s"/>
      <c r="T205" s="39" t="s"/>
      <c r="U205" s="39" t="s"/>
      <c r="V205" s="173" t="s"/>
      <c r="W205" s="173" t="s"/>
      <c r="X205" s="39" t="s"/>
      <c r="Y205" s="165" t="s"/>
      <c r="Z205" s="97" t="s"/>
      <c r="AA205" s="97" t="s"/>
      <c r="AB205" s="97" t="s"/>
      <c r="AC205" s="97" t="s"/>
      <c r="AD205" s="97" t="s"/>
      <c r="AE205" s="97" t="s"/>
      <c r="AF205" s="97" t="s"/>
      <c r="AG205" s="97" t="s"/>
      <c r="AH205" s="97" t="s"/>
      <c r="AI205" s="97" t="s"/>
      <c r="AJ205" s="97" t="s"/>
      <c r="AK205" s="97" t="s"/>
      <c r="AL205" s="97" t="s"/>
      <c r="AM205" s="97" t="s"/>
    </row>
    <row r="206" spans="1:39" s="429" customFormat="true" ht="72.75" customHeight="true">
      <c r="A206" s="97">
        <v>205</v>
      </c>
      <c r="B206" s="166" t="s">
        <v>221</v>
      </c>
      <c r="C206" s="174">
        <v>46097.59375</v>
      </c>
      <c r="D206" s="147">
        <v>12</v>
      </c>
      <c r="E206" s="120">
        <v>46097</v>
      </c>
      <c r="F206" s="97" t="s">
        <v>215</v>
      </c>
      <c r="G206" s="175" t="s">
        <v>1100</v>
      </c>
      <c r="H206" s="96" t="s">
        <v>607</v>
      </c>
      <c r="I206" s="97" t="s">
        <v>609</v>
      </c>
      <c r="J206" s="98" t="s">
        <f>=_xlfn.TEXTJOIN("+",TRUE,_xlfn._xlws.FILTER(_xlfn.TEXTSPLIT(H206,,"+"),(_xlfn.TEXTSPLIT(H206,,"+")&lt;&gt;"埃米工具")*(_xlfn.TEXTSPLIT(H206,,"+")&lt;&gt;"埃米广告通")))</f>
        <v>607</v>
      </c>
      <c r="K206" s="109">
        <f>=EDATE(C206,D206)</f>
        <v>46462</v>
      </c>
      <c r="L206" s="109" t="s"/>
      <c r="M206" s="128" t="s"/>
      <c r="N206" s="96" t="s">
        <v>611</v>
      </c>
      <c r="O206" s="110" t="s">
        <v>214</v>
      </c>
      <c r="P206" s="110" t="s"/>
      <c r="Q206" s="111" t="s"/>
      <c r="R206" s="105" t="s"/>
      <c r="S206" s="105" t="s"/>
      <c r="T206" s="97" t="s"/>
      <c r="U206" s="97" t="s"/>
      <c r="V206" s="97" t="s"/>
      <c r="W206" s="97" t="s"/>
      <c r="X206" s="97" t="s"/>
      <c r="Y206" s="97" t="s"/>
      <c r="Z206" s="97" t="s"/>
      <c r="AA206" s="97" t="s"/>
      <c r="AB206" s="97" t="s"/>
      <c r="AC206" s="97" t="s"/>
      <c r="AD206" s="97" t="s"/>
      <c r="AE206" s="97" t="s"/>
      <c r="AF206" s="97" t="s"/>
      <c r="AG206" s="97" t="s"/>
      <c r="AH206" s="97" t="s"/>
      <c r="AI206" s="97" t="s"/>
      <c r="AJ206" s="97" t="s"/>
      <c r="AK206" s="97" t="s"/>
      <c r="AL206" s="97" t="s"/>
      <c r="AM206" s="97" t="s"/>
    </row>
    <row r="207" spans="1:39" s="429" customFormat="true">
      <c r="A207" s="97">
        <v>206</v>
      </c>
      <c r="B207" s="137" t="s">
        <v>240</v>
      </c>
      <c r="C207" s="174">
        <v>46097.5854166667</v>
      </c>
      <c r="D207" s="147">
        <v>12</v>
      </c>
      <c r="E207" s="120">
        <v>46097</v>
      </c>
      <c r="F207" s="97" t="s">
        <v>224</v>
      </c>
      <c r="G207" s="175" t="s">
        <v>1101</v>
      </c>
      <c r="H207" s="96" t="s">
        <v>607</v>
      </c>
      <c r="I207" s="97" t="s">
        <v>609</v>
      </c>
      <c r="J207" s="98" t="s">
        <f>=_xlfn.TEXTJOIN("+",TRUE,_xlfn._xlws.FILTER(_xlfn.TEXTSPLIT(H207,,"+"),(_xlfn.TEXTSPLIT(H207,,"+")&lt;&gt;"埃米工具")*(_xlfn.TEXTSPLIT(H207,,"+")&lt;&gt;"埃米广告通")))</f>
        <v>607</v>
      </c>
      <c r="K207" s="109">
        <f>=EDATE(C207,D207)</f>
        <v>46462</v>
      </c>
      <c r="L207" s="109" t="s"/>
      <c r="M207" s="128" t="s"/>
      <c r="N207" s="101" t="s">
        <v>611</v>
      </c>
      <c r="O207" s="110" t="s">
        <v>703</v>
      </c>
      <c r="P207" s="110" t="s"/>
      <c r="Q207" s="111" t="s"/>
      <c r="R207" s="105" t="s"/>
      <c r="S207" s="105" t="s"/>
      <c r="T207" s="97" t="s"/>
      <c r="U207" s="97" t="s"/>
      <c r="V207" s="97" t="s"/>
      <c r="W207" s="97" t="s"/>
      <c r="X207" s="97" t="s"/>
      <c r="Y207" s="97" t="s"/>
      <c r="Z207" s="97" t="s"/>
      <c r="AA207" s="97" t="s"/>
      <c r="AB207" s="97" t="s"/>
      <c r="AC207" s="97" t="s"/>
      <c r="AD207" s="97" t="s"/>
      <c r="AE207" s="97" t="s"/>
      <c r="AF207" s="97" t="s"/>
      <c r="AG207" s="97" t="s"/>
      <c r="AH207" s="97" t="s"/>
      <c r="AI207" s="97" t="s"/>
      <c r="AJ207" s="97" t="s"/>
      <c r="AK207" s="97" t="s"/>
      <c r="AL207" s="97" t="s"/>
      <c r="AM207" s="97" t="s"/>
    </row>
    <row r="208" spans="1:39" s="429" customFormat="true">
      <c r="A208" s="97">
        <v>207</v>
      </c>
      <c r="B208" s="166" t="s">
        <v>237</v>
      </c>
      <c r="C208" s="174">
        <v>46097.6555555556</v>
      </c>
      <c r="D208" s="147">
        <v>12</v>
      </c>
      <c r="E208" s="120">
        <v>46097</v>
      </c>
      <c r="F208" s="97" t="s">
        <v>224</v>
      </c>
      <c r="G208" s="175" t="s">
        <v>1102</v>
      </c>
      <c r="H208" s="96" t="s">
        <v>607</v>
      </c>
      <c r="I208" s="97" t="s">
        <v>609</v>
      </c>
      <c r="J208" s="98" t="s">
        <f>=_xlfn.TEXTJOIN("+",TRUE,_xlfn._xlws.FILTER(_xlfn.TEXTSPLIT(H208,,"+"),(_xlfn.TEXTSPLIT(H208,,"+")&lt;&gt;"埃米工具")*(_xlfn.TEXTSPLIT(H208,,"+")&lt;&gt;"埃米广告通")))</f>
        <v>607</v>
      </c>
      <c r="K208" s="109">
        <f>=EDATE(C208,D208)</f>
        <v>46462</v>
      </c>
      <c r="L208" s="109" t="s"/>
      <c r="M208" s="128" t="s"/>
      <c r="N208" s="96" t="s">
        <v>611</v>
      </c>
      <c r="O208" s="110" t="s">
        <v>703</v>
      </c>
      <c r="P208" s="110" t="s"/>
      <c r="Q208" s="111" t="s"/>
      <c r="R208" s="105" t="s"/>
      <c r="S208" s="105" t="s"/>
      <c r="T208" s="97" t="s"/>
      <c r="U208" s="97" t="s"/>
      <c r="V208" s="97" t="s"/>
      <c r="W208" s="97" t="s"/>
      <c r="X208" s="97" t="s"/>
      <c r="Y208" s="97" t="s"/>
      <c r="Z208" s="97" t="s"/>
      <c r="AA208" s="97" t="s"/>
      <c r="AB208" s="97" t="s"/>
      <c r="AC208" s="97" t="s"/>
      <c r="AD208" s="97" t="s"/>
      <c r="AE208" s="97" t="s"/>
      <c r="AF208" s="97" t="s"/>
      <c r="AG208" s="97" t="s"/>
      <c r="AH208" s="97" t="s"/>
      <c r="AI208" s="97" t="s"/>
      <c r="AJ208" s="97" t="s"/>
      <c r="AK208" s="97" t="s"/>
      <c r="AL208" s="97" t="s"/>
      <c r="AM208" s="97" t="s"/>
    </row>
    <row r="209" spans="1:39" s="429" customFormat="true">
      <c r="A209" s="97">
        <v>208</v>
      </c>
      <c r="B209" s="166" t="s">
        <v>102</v>
      </c>
      <c r="C209" s="174">
        <v>46097.7416666667</v>
      </c>
      <c r="D209" s="147">
        <v>12</v>
      </c>
      <c r="E209" s="120">
        <v>46098</v>
      </c>
      <c r="F209" s="97" t="s">
        <v>215</v>
      </c>
      <c r="G209" s="175" t="s">
        <v>1103</v>
      </c>
      <c r="H209" s="96" t="s">
        <v>12</v>
      </c>
      <c r="I209" s="97" t="s">
        <v>609</v>
      </c>
      <c r="J209" s="98" t="s">
        <f>=_xlfn.TEXTJOIN("+",TRUE,_xlfn._xlws.FILTER(_xlfn.TEXTSPLIT(H209,,"+"),(_xlfn.TEXTSPLIT(H209,,"+")&lt;&gt;"埃米工具")*(_xlfn.TEXTSPLIT(H209,,"+")&lt;&gt;"埃米广告通")))</f>
        <v>12</v>
      </c>
      <c r="K209" s="109">
        <f>=EDATE(C209,D209)</f>
        <v>46462</v>
      </c>
      <c r="L209" s="161">
        <v>46099</v>
      </c>
      <c r="M209" s="128" t="s">
        <v>610</v>
      </c>
      <c r="N209" s="96" t="s">
        <v>611</v>
      </c>
      <c r="O209" s="110" t="s">
        <v>670</v>
      </c>
      <c r="P209" s="110" t="s"/>
      <c r="Q209" s="111" t="s"/>
      <c r="R209" s="105" t="s"/>
      <c r="S209" s="105" t="s"/>
      <c r="T209" s="97" t="s"/>
      <c r="U209" s="97" t="s"/>
      <c r="V209" s="97" t="s"/>
      <c r="W209" s="97" t="s"/>
      <c r="X209" s="97" t="s"/>
      <c r="Y209" s="97" t="s"/>
      <c r="Z209" s="97" t="s"/>
      <c r="AA209" s="97" t="s"/>
      <c r="AB209" s="97" t="s"/>
      <c r="AC209" s="97" t="s"/>
      <c r="AD209" s="97" t="s"/>
      <c r="AE209" s="97" t="s"/>
      <c r="AF209" s="97" t="s"/>
      <c r="AG209" s="97" t="s"/>
      <c r="AH209" s="97" t="s"/>
      <c r="AI209" s="97" t="s"/>
      <c r="AJ209" s="97" t="s"/>
      <c r="AK209" s="97" t="s"/>
      <c r="AL209" s="97" t="s"/>
      <c r="AM209" s="97" t="s"/>
    </row>
    <row r="210" spans="1:39" s="431" customFormat="true">
      <c r="A210" s="97">
        <v>209</v>
      </c>
      <c r="B210" s="153" t="s">
        <v>248</v>
      </c>
      <c r="C210" s="177">
        <v>46097.7152777778</v>
      </c>
      <c r="D210" s="147">
        <v>12</v>
      </c>
      <c r="E210" s="120">
        <v>46098</v>
      </c>
      <c r="F210" s="97" t="s">
        <v>224</v>
      </c>
      <c r="G210" s="153" t="s">
        <v>1104</v>
      </c>
      <c r="H210" s="96" t="s">
        <v>607</v>
      </c>
      <c r="I210" s="97" t="s">
        <v>609</v>
      </c>
      <c r="J210" s="98" t="s">
        <f>=_xlfn.TEXTJOIN("+",TRUE,_xlfn._xlws.FILTER(_xlfn.TEXTSPLIT(H210,,"+"),(_xlfn.TEXTSPLIT(H210,,"+")&lt;&gt;"埃米工具")*(_xlfn.TEXTSPLIT(H210,,"+")&lt;&gt;"埃米广告通")))</f>
        <v>607</v>
      </c>
      <c r="K210" s="109">
        <f>=EDATE(C210,D210)</f>
        <v>46462</v>
      </c>
      <c r="L210" s="109" t="s"/>
      <c r="M210" s="128" t="s"/>
      <c r="N210" s="101" t="s">
        <v>611</v>
      </c>
      <c r="O210" s="110" t="s">
        <v>703</v>
      </c>
      <c r="P210" s="110" t="s"/>
      <c r="Q210" s="111" t="s"/>
      <c r="R210" s="105" t="s"/>
      <c r="S210" s="105" t="s"/>
      <c r="T210" s="97" t="s"/>
      <c r="U210" s="97" t="s"/>
      <c r="V210" s="97" t="s"/>
      <c r="W210" s="97" t="s"/>
      <c r="X210" s="97" t="s"/>
      <c r="Y210" s="97" t="s"/>
      <c r="Z210" s="97" t="s"/>
      <c r="AA210" s="97" t="s"/>
      <c r="AB210" s="97" t="s"/>
      <c r="AC210" s="97" t="s"/>
      <c r="AD210" s="97" t="s"/>
      <c r="AE210" s="97" t="s"/>
      <c r="AF210" s="97" t="s"/>
      <c r="AG210" s="97" t="s"/>
      <c r="AH210" s="97" t="s"/>
      <c r="AI210" s="97" t="s"/>
      <c r="AJ210" s="97" t="s"/>
      <c r="AK210" s="97" t="s"/>
      <c r="AL210" s="97" t="s"/>
      <c r="AM210" s="97" t="s"/>
    </row>
    <row r="211" spans="1:39" s="431" customFormat="true">
      <c r="A211" s="97">
        <v>210</v>
      </c>
      <c r="B211" s="165" t="s">
        <v>1105</v>
      </c>
      <c r="C211" s="132">
        <v>46098.4194212962</v>
      </c>
      <c r="D211" s="147">
        <v>1</v>
      </c>
      <c r="E211" s="120">
        <v>46098</v>
      </c>
      <c r="F211" s="97" t="s">
        <v>234</v>
      </c>
      <c r="G211" s="178" t="s">
        <v>1106</v>
      </c>
      <c r="H211" s="96" t="s">
        <v>607</v>
      </c>
      <c r="I211" s="97" t="s">
        <v>726</v>
      </c>
      <c r="J211" s="98" t="s">
        <f>=_xlfn.TEXTJOIN("+",TRUE,_xlfn._xlws.FILTER(_xlfn.TEXTSPLIT(H211,,"+"),(_xlfn.TEXTSPLIT(H211,,"+")&lt;&gt;"埃米工具")*(_xlfn.TEXTSPLIT(H211,,"+")&lt;&gt;"埃米广告通")))</f>
        <v>607</v>
      </c>
      <c r="K211" s="109">
        <f>=EDATE(C211,D211)</f>
        <v>46129</v>
      </c>
      <c r="L211" s="109" t="s"/>
      <c r="M211" s="128" t="s"/>
      <c r="N211" s="96" t="s">
        <v>611</v>
      </c>
      <c r="O211" s="110" t="s">
        <v>670</v>
      </c>
      <c r="P211" s="110" t="s"/>
      <c r="Q211" s="111" t="s"/>
      <c r="R211" s="105" t="s"/>
      <c r="S211" s="105" t="s"/>
      <c r="T211" s="97" t="s"/>
      <c r="U211" s="97" t="s"/>
      <c r="V211" s="97" t="s"/>
      <c r="W211" s="97" t="s"/>
      <c r="X211" s="97" t="s"/>
      <c r="Y211" s="97" t="s"/>
      <c r="Z211" s="97" t="s"/>
      <c r="AA211" s="97" t="s"/>
      <c r="AB211" s="97" t="s"/>
      <c r="AC211" s="97" t="s"/>
      <c r="AD211" s="97" t="s"/>
      <c r="AE211" s="97" t="s"/>
      <c r="AF211" s="97" t="s"/>
      <c r="AG211" s="97" t="s"/>
      <c r="AH211" s="97" t="s"/>
      <c r="AI211" s="97" t="s"/>
      <c r="AJ211" s="97" t="s"/>
      <c r="AK211" s="97" t="s"/>
      <c r="AL211" s="97" t="s"/>
      <c r="AM211" s="97" t="s"/>
    </row>
    <row r="212" spans="1:39" s="426" customFormat="true">
      <c r="A212" s="97">
        <v>211</v>
      </c>
      <c r="B212" s="137" t="s">
        <v>103</v>
      </c>
      <c r="C212" s="162">
        <v>46098.4020370371</v>
      </c>
      <c r="D212" s="147">
        <v>12</v>
      </c>
      <c r="E212" s="120">
        <v>46098</v>
      </c>
      <c r="F212" s="97" t="s">
        <v>224</v>
      </c>
      <c r="G212" s="179" t="s">
        <v>1107</v>
      </c>
      <c r="H212" s="96" t="s">
        <v>12</v>
      </c>
      <c r="I212" s="97" t="s">
        <v>609</v>
      </c>
      <c r="J212" s="98" t="s">
        <f>=_xlfn.TEXTJOIN("+",TRUE,_xlfn._xlws.FILTER(_xlfn.TEXTSPLIT(H212,,"+"),(_xlfn.TEXTSPLIT(H212,,"+")&lt;&gt;"埃米工具")*(_xlfn.TEXTSPLIT(H212,,"+")&lt;&gt;"埃米广告通")))</f>
        <v>12</v>
      </c>
      <c r="K212" s="109">
        <f>=EDATE(C212,D212)</f>
        <v>46463</v>
      </c>
      <c r="L212" s="161">
        <v>46099</v>
      </c>
      <c r="M212" s="128" t="s">
        <v>1108</v>
      </c>
      <c r="N212" s="96" t="s">
        <v>611</v>
      </c>
      <c r="O212" s="110" t="s">
        <v>933</v>
      </c>
      <c r="P212" s="110" t="s">
        <v>1091</v>
      </c>
      <c r="Q212" s="111" t="s"/>
      <c r="R212" s="105" t="s"/>
      <c r="S212" s="105" t="s"/>
      <c r="T212" s="97" t="s"/>
      <c r="U212" s="97" t="s"/>
      <c r="V212" s="97" t="s"/>
      <c r="W212" s="97" t="s"/>
      <c r="X212" s="97" t="s"/>
      <c r="Y212" s="97" t="s"/>
      <c r="Z212" s="97" t="s"/>
      <c r="AA212" s="97" t="s"/>
      <c r="AB212" s="97" t="s"/>
      <c r="AC212" s="97" t="s"/>
      <c r="AD212" s="97" t="s"/>
      <c r="AE212" s="97" t="s"/>
      <c r="AF212" s="97" t="s"/>
      <c r="AG212" s="97" t="s"/>
      <c r="AH212" s="97" t="s"/>
      <c r="AI212" s="97" t="s"/>
      <c r="AJ212" s="97" t="s"/>
      <c r="AK212" s="97" t="s"/>
      <c r="AL212" s="97" t="s"/>
      <c r="AM212" s="97" t="s"/>
    </row>
    <row r="213" spans="1:39" s="426" customFormat="true">
      <c r="A213" s="97">
        <v>212</v>
      </c>
      <c r="B213" s="166" t="s">
        <v>104</v>
      </c>
      <c r="C213" s="146">
        <v>46098.5078240741</v>
      </c>
      <c r="D213" s="147">
        <v>12</v>
      </c>
      <c r="E213" s="120">
        <v>46098</v>
      </c>
      <c r="F213" s="97" t="s">
        <v>236</v>
      </c>
      <c r="G213" s="157" t="s">
        <v>1109</v>
      </c>
      <c r="H213" s="96" t="s">
        <v>12</v>
      </c>
      <c r="I213" s="97" t="s">
        <v>646</v>
      </c>
      <c r="J213" s="98" t="s">
        <f>=_xlfn.TEXTJOIN("+",TRUE,_xlfn._xlws.FILTER(_xlfn.TEXTSPLIT(H213,,"+"),(_xlfn.TEXTSPLIT(H213,,"+")&lt;&gt;"埃米工具")*(_xlfn.TEXTSPLIT(H213,,"+")&lt;&gt;"埃米广告通")))</f>
        <v>12</v>
      </c>
      <c r="K213" s="109">
        <f>=EDATE(C213,D213)</f>
        <v>46463</v>
      </c>
      <c r="L213" s="161">
        <v>46104</v>
      </c>
      <c r="M213" s="128" t="s">
        <v>1110</v>
      </c>
      <c r="N213" s="96" t="s">
        <v>611</v>
      </c>
      <c r="O213" s="110" t="s">
        <v>1111</v>
      </c>
      <c r="P213" s="110" t="s"/>
      <c r="Q213" s="111" t="s"/>
      <c r="R213" s="105" t="s"/>
      <c r="S213" s="105" t="s"/>
      <c r="T213" s="97" t="s"/>
      <c r="U213" s="97" t="s"/>
      <c r="V213" s="97" t="s"/>
      <c r="W213" s="97" t="s"/>
      <c r="X213" s="97" t="s"/>
      <c r="Y213" s="97" t="s"/>
      <c r="Z213" s="97" t="s"/>
      <c r="AA213" s="97" t="s"/>
      <c r="AB213" s="97" t="s"/>
      <c r="AC213" s="97" t="s"/>
      <c r="AD213" s="97" t="s"/>
      <c r="AE213" s="97" t="s"/>
      <c r="AF213" s="97" t="s"/>
      <c r="AG213" s="97" t="s"/>
      <c r="AH213" s="97" t="s"/>
      <c r="AI213" s="97" t="s"/>
      <c r="AJ213" s="97" t="s"/>
      <c r="AK213" s="97" t="s"/>
      <c r="AL213" s="97" t="s"/>
      <c r="AM213" s="97" t="s"/>
    </row>
    <row r="214" spans="1:39" s="426" customFormat="true">
      <c r="A214" s="97">
        <v>213</v>
      </c>
      <c r="B214" s="137" t="s">
        <v>265</v>
      </c>
      <c r="C214" s="146">
        <v>46098.4793634259</v>
      </c>
      <c r="D214" s="147">
        <v>12</v>
      </c>
      <c r="E214" s="120">
        <v>46098</v>
      </c>
      <c r="F214" s="97" t="s">
        <v>224</v>
      </c>
      <c r="G214" s="179" t="s">
        <v>1112</v>
      </c>
      <c r="H214" s="96" t="s">
        <v>607</v>
      </c>
      <c r="I214" s="97" t="s">
        <v>609</v>
      </c>
      <c r="J214" s="98" t="s">
        <f>=_xlfn.TEXTJOIN("+",TRUE,_xlfn._xlws.FILTER(_xlfn.TEXTSPLIT(H214,,"+"),(_xlfn.TEXTSPLIT(H214,,"+")&lt;&gt;"埃米工具")*(_xlfn.TEXTSPLIT(H214,,"+")&lt;&gt;"埃米广告通")))</f>
        <v>607</v>
      </c>
      <c r="K214" s="109">
        <f>=EDATE(C214,D214)</f>
        <v>46463</v>
      </c>
      <c r="L214" s="109" t="s"/>
      <c r="M214" s="128" t="s"/>
      <c r="N214" s="96" t="s">
        <v>611</v>
      </c>
      <c r="O214" s="110" t="s">
        <v>703</v>
      </c>
      <c r="P214" s="110" t="s"/>
      <c r="Q214" s="111" t="s"/>
      <c r="R214" s="105" t="s"/>
      <c r="S214" s="105" t="s"/>
      <c r="T214" s="97" t="s"/>
      <c r="U214" s="97" t="s"/>
      <c r="V214" s="97" t="s"/>
      <c r="W214" s="97" t="s"/>
      <c r="X214" s="97" t="s"/>
      <c r="Y214" s="97" t="s"/>
      <c r="Z214" s="97" t="s"/>
      <c r="AA214" s="97" t="s"/>
      <c r="AB214" s="97" t="s"/>
      <c r="AC214" s="97" t="s"/>
      <c r="AD214" s="97" t="s"/>
      <c r="AE214" s="97" t="s"/>
      <c r="AF214" s="97" t="s"/>
      <c r="AG214" s="97" t="s"/>
      <c r="AH214" s="97" t="s"/>
      <c r="AI214" s="97" t="s"/>
      <c r="AJ214" s="97" t="s"/>
      <c r="AK214" s="97" t="s"/>
      <c r="AL214" s="97" t="s"/>
      <c r="AM214" s="97" t="s"/>
    </row>
    <row r="215" spans="1:39" s="426" customFormat="true">
      <c r="A215" s="97">
        <v>214</v>
      </c>
      <c r="B215" s="137" t="s">
        <v>105</v>
      </c>
      <c r="C215" s="146">
        <v>46098.4877430556</v>
      </c>
      <c r="D215" s="147">
        <v>12</v>
      </c>
      <c r="E215" s="120">
        <v>46098</v>
      </c>
      <c r="F215" s="97" t="s">
        <v>215</v>
      </c>
      <c r="G215" s="179" t="s">
        <v>1113</v>
      </c>
      <c r="H215" s="96" t="s">
        <v>12</v>
      </c>
      <c r="I215" s="97" t="s">
        <v>609</v>
      </c>
      <c r="J215" s="98" t="s">
        <f>=_xlfn.TEXTJOIN("+",TRUE,_xlfn._xlws.FILTER(_xlfn.TEXTSPLIT(H215,,"+"),(_xlfn.TEXTSPLIT(H215,,"+")&lt;&gt;"埃米工具")*(_xlfn.TEXTSPLIT(H215,,"+")&lt;&gt;"埃米广告通")))</f>
        <v>12</v>
      </c>
      <c r="K215" s="109">
        <f>=EDATE(C215,D215)</f>
        <v>46463</v>
      </c>
      <c r="L215" s="161">
        <v>46120</v>
      </c>
      <c r="M215" s="128" t="s">
        <v>787</v>
      </c>
      <c r="N215" s="96" t="s">
        <v>611</v>
      </c>
      <c r="O215" s="110" t="s">
        <v>670</v>
      </c>
      <c r="P215" s="110" t="s"/>
      <c r="Q215" s="111" t="s"/>
      <c r="R215" s="105" t="s"/>
      <c r="S215" s="105" t="s"/>
      <c r="T215" s="97" t="s"/>
      <c r="U215" s="97" t="s"/>
      <c r="V215" s="97" t="s"/>
      <c r="W215" s="97" t="s"/>
      <c r="X215" s="97" t="s"/>
      <c r="Y215" s="97" t="s"/>
      <c r="Z215" s="97" t="s"/>
      <c r="AA215" s="97" t="s"/>
      <c r="AB215" s="97" t="s"/>
      <c r="AC215" s="97" t="s"/>
      <c r="AD215" s="97" t="s"/>
      <c r="AE215" s="97" t="s"/>
      <c r="AF215" s="97" t="s"/>
      <c r="AG215" s="97" t="s"/>
      <c r="AH215" s="97" t="s"/>
      <c r="AI215" s="97" t="s"/>
      <c r="AJ215" s="97" t="s"/>
      <c r="AK215" s="97" t="s"/>
      <c r="AL215" s="97" t="s"/>
      <c r="AM215" s="97" t="s"/>
    </row>
    <row r="216" spans="1:39" s="431" customFormat="true">
      <c r="A216" s="97">
        <v>215</v>
      </c>
      <c r="B216" s="166" t="s">
        <v>1114</v>
      </c>
      <c r="C216" s="146">
        <v>46098.6939467593</v>
      </c>
      <c r="D216" s="147">
        <v>12</v>
      </c>
      <c r="E216" s="120">
        <v>46098</v>
      </c>
      <c r="F216" s="97" t="s">
        <v>236</v>
      </c>
      <c r="G216" s="157" t="s">
        <v>1115</v>
      </c>
      <c r="H216" s="96" t="s">
        <v>607</v>
      </c>
      <c r="I216" s="97" t="s">
        <v>609</v>
      </c>
      <c r="J216" s="97" t="s">
        <f>=_xlfn.TEXTJOIN("+",TRUE,_xlfn._xlws.FILTER(_xlfn.TEXTSPLIT(H216,,"+"),(_xlfn.TEXTSPLIT(H216,,"+")&lt;&gt;"埃米工具")*(_xlfn.TEXTSPLIT(H216,,"+")&lt;&gt;"埃米广告通")))</f>
        <v>607</v>
      </c>
      <c r="K216" s="109">
        <f>=EDATE(C216,D216)</f>
        <v>46463</v>
      </c>
      <c r="L216" s="109" t="s"/>
      <c r="M216" s="128" t="s"/>
      <c r="N216" s="96" t="s">
        <v>611</v>
      </c>
      <c r="O216" s="110" t="s">
        <v>1116</v>
      </c>
      <c r="P216" s="110" t="s"/>
      <c r="Q216" s="111" t="s"/>
      <c r="R216" s="105" t="s"/>
      <c r="S216" s="105" t="s"/>
      <c r="T216" s="97" t="s"/>
      <c r="U216" s="97" t="s"/>
      <c r="V216" s="97" t="s"/>
      <c r="W216" s="97" t="s"/>
      <c r="X216" s="97" t="s"/>
      <c r="Y216" s="97" t="s"/>
      <c r="Z216" s="97" t="s"/>
      <c r="AA216" s="97" t="s"/>
      <c r="AB216" s="97" t="s"/>
      <c r="AC216" s="97" t="s"/>
      <c r="AD216" s="97" t="s"/>
      <c r="AE216" s="97" t="s"/>
      <c r="AF216" s="97" t="s"/>
      <c r="AG216" s="97" t="s"/>
      <c r="AH216" s="97" t="s"/>
      <c r="AI216" s="97" t="s"/>
      <c r="AJ216" s="97" t="s"/>
      <c r="AK216" s="97" t="s"/>
      <c r="AL216" s="97" t="s"/>
      <c r="AM216" s="97" t="s"/>
    </row>
    <row r="217" spans="1:39" s="426" customFormat="true">
      <c r="A217" s="97">
        <v>216</v>
      </c>
      <c r="B217" s="175" t="s">
        <v>108</v>
      </c>
      <c r="C217" s="174">
        <v>46098.7097222222</v>
      </c>
      <c r="D217" s="147">
        <v>12</v>
      </c>
      <c r="E217" s="120">
        <v>46098</v>
      </c>
      <c r="F217" s="97" t="s">
        <v>236</v>
      </c>
      <c r="G217" s="175" t="s">
        <v>1117</v>
      </c>
      <c r="H217" s="96" t="s">
        <v>12</v>
      </c>
      <c r="I217" s="97" t="s">
        <v>609</v>
      </c>
      <c r="J217" s="97" t="s">
        <f>=_xlfn.TEXTJOIN("+",TRUE,_xlfn._xlws.FILTER(_xlfn.TEXTSPLIT(H217,,"+"),(_xlfn.TEXTSPLIT(H217,,"+")&lt;&gt;"埃米工具")*(_xlfn.TEXTSPLIT(H217,,"+")&lt;&gt;"埃米广告通")))</f>
        <v>12</v>
      </c>
      <c r="K217" s="109">
        <f>=EDATE(C217,D217)</f>
        <v>46463</v>
      </c>
      <c r="L217" s="161">
        <v>46104</v>
      </c>
      <c r="M217" s="128" t="s">
        <v>1118</v>
      </c>
      <c r="N217" s="96" t="s">
        <v>611</v>
      </c>
      <c r="O217" s="110" t="s">
        <v>933</v>
      </c>
      <c r="P217" s="110" t="s"/>
      <c r="Q217" s="111" t="s"/>
      <c r="R217" s="105" t="s"/>
      <c r="S217" s="105" t="s"/>
      <c r="T217" s="97" t="s"/>
      <c r="U217" s="97" t="s"/>
      <c r="V217" s="97" t="s"/>
      <c r="W217" s="97" t="s"/>
      <c r="X217" s="97" t="s"/>
      <c r="Y217" s="97" t="s"/>
      <c r="Z217" s="97" t="s"/>
      <c r="AA217" s="97" t="s"/>
      <c r="AB217" s="97" t="s"/>
      <c r="AC217" s="97" t="s"/>
      <c r="AD217" s="97" t="s"/>
      <c r="AE217" s="97" t="s"/>
      <c r="AF217" s="97" t="s"/>
      <c r="AG217" s="97" t="s"/>
      <c r="AH217" s="97" t="s"/>
      <c r="AI217" s="97" t="s"/>
      <c r="AJ217" s="97" t="s"/>
      <c r="AK217" s="97" t="s"/>
      <c r="AL217" s="97" t="s"/>
      <c r="AM217" s="97" t="s"/>
    </row>
    <row r="218" spans="1:39" s="431" customFormat="true">
      <c r="A218" s="97">
        <v>217</v>
      </c>
      <c r="B218" s="175" t="s">
        <v>109</v>
      </c>
      <c r="C218" s="174">
        <v>46098.7138888889</v>
      </c>
      <c r="D218" s="147">
        <v>12</v>
      </c>
      <c r="E218" s="120">
        <v>46098</v>
      </c>
      <c r="F218" s="97" t="s">
        <v>224</v>
      </c>
      <c r="G218" s="175" t="s">
        <v>1119</v>
      </c>
      <c r="H218" s="96" t="s">
        <v>12</v>
      </c>
      <c r="I218" s="97" t="s">
        <v>609</v>
      </c>
      <c r="J218" s="97" t="s">
        <f>=_xlfn.TEXTJOIN("+",TRUE,_xlfn._xlws.FILTER(_xlfn.TEXTSPLIT(H218,,"+"),(_xlfn.TEXTSPLIT(H218,,"+")&lt;&gt;"埃米工具")*(_xlfn.TEXTSPLIT(H218,,"+")&lt;&gt;"埃米广告通")))</f>
        <v>12</v>
      </c>
      <c r="K218" s="109">
        <f>=EDATE(C218,D218)</f>
        <v>46463</v>
      </c>
      <c r="L218" s="137" t="s"/>
      <c r="M218" s="128" t="s"/>
      <c r="N218" s="96" t="s">
        <v>611</v>
      </c>
      <c r="O218" s="110" t="s"/>
      <c r="P218" s="110" t="s">
        <v>1120</v>
      </c>
      <c r="Q218" s="111" t="s">
        <v>791</v>
      </c>
      <c r="R218" s="105" t="s"/>
      <c r="S218" s="105" t="s"/>
      <c r="T218" s="97" t="s"/>
      <c r="U218" s="97" t="s"/>
      <c r="V218" s="97" t="s"/>
      <c r="W218" s="97" t="s"/>
      <c r="X218" s="97" t="s"/>
      <c r="Y218" s="97" t="s"/>
      <c r="Z218" s="109" t="s"/>
      <c r="AA218" s="97" t="s"/>
      <c r="AB218" s="97" t="s"/>
      <c r="AC218" s="97" t="s"/>
      <c r="AD218" s="97" t="s"/>
      <c r="AE218" s="97" t="s"/>
      <c r="AF218" s="97" t="s"/>
      <c r="AG218" s="97" t="s"/>
      <c r="AH218" s="97" t="s"/>
      <c r="AI218" s="97" t="s"/>
      <c r="AJ218" s="97" t="s"/>
      <c r="AK218" s="97" t="s"/>
      <c r="AL218" s="97" t="s"/>
      <c r="AM218" s="97" t="s"/>
    </row>
    <row r="219" spans="1:24">
      <c r="A219" s="98">
        <v>218</v>
      </c>
      <c r="B219" s="165" t="s">
        <v>106</v>
      </c>
      <c r="C219" s="180">
        <v>46098.6344560185</v>
      </c>
      <c r="D219" s="55">
        <v>12</v>
      </c>
      <c r="E219" s="118">
        <v>46098</v>
      </c>
      <c r="F219" s="181" t="s">
        <v>234</v>
      </c>
      <c r="G219" s="182" t="s">
        <v>1121</v>
      </c>
      <c r="H219" s="101" t="s">
        <v>12</v>
      </c>
      <c r="I219" s="182" t="s">
        <v>646</v>
      </c>
      <c r="J219" s="98" t="s">
        <f>=_xlfn.TEXTJOIN("+",TRUE,_xlfn._xlws.FILTER(_xlfn.TEXTSPLIT(H219,,"+"),(_xlfn.TEXTSPLIT(H219,,"+")&lt;&gt;"埃米工具")*(_xlfn.TEXTSPLIT(H219,,"+")&lt;&gt;"埃米广告通")))</f>
        <v>12</v>
      </c>
      <c r="K219" s="100">
        <f>=EDATE(C219,D219)</f>
        <v>46463</v>
      </c>
      <c r="L219" s="183">
        <v>46099</v>
      </c>
      <c r="M219" s="102" t="s">
        <v>1097</v>
      </c>
      <c r="N219" s="101" t="s">
        <v>611</v>
      </c>
      <c r="O219" s="103" t="s">
        <v>703</v>
      </c>
      <c r="P219" s="110" t="s"/>
      <c r="Q219" s="140" t="s"/>
      <c r="R219" s="141" t="s"/>
      <c r="S219" s="141" t="s"/>
      <c r="T219" s="133" t="s"/>
      <c r="U219" s="133" t="s"/>
      <c r="V219" s="133" t="s"/>
      <c r="W219" s="133" t="s"/>
      <c r="X219" s="133" t="s"/>
    </row>
    <row r="220" spans="1:39" s="431" customFormat="true">
      <c r="A220" s="97">
        <v>219</v>
      </c>
      <c r="B220" s="175" t="s">
        <v>110</v>
      </c>
      <c r="C220" s="162">
        <v>46098.7220138889</v>
      </c>
      <c r="D220" s="147">
        <v>12</v>
      </c>
      <c r="E220" s="120">
        <v>46099</v>
      </c>
      <c r="F220" s="97" t="s">
        <v>228</v>
      </c>
      <c r="G220" s="175" t="s">
        <v>1122</v>
      </c>
      <c r="H220" s="96" t="s">
        <v>12</v>
      </c>
      <c r="I220" s="97" t="s">
        <v>609</v>
      </c>
      <c r="J220" s="98" t="s">
        <f>=_xlfn.TEXTJOIN("+",TRUE,_xlfn._xlws.FILTER(_xlfn.TEXTSPLIT(H220,,"+"),(_xlfn.TEXTSPLIT(H220,,"+")&lt;&gt;"埃米工具")*(_xlfn.TEXTSPLIT(H220,,"+")&lt;&gt;"埃米广告通")))</f>
        <v>12</v>
      </c>
      <c r="K220" s="109">
        <f>=EDATE(C220,D220)</f>
        <v>46463</v>
      </c>
      <c r="L220" s="109" t="s"/>
      <c r="M220" s="128" t="s"/>
      <c r="N220" s="96" t="s">
        <v>611</v>
      </c>
      <c r="O220" s="110" t="s">
        <v>1123</v>
      </c>
      <c r="P220" s="184" t="s"/>
      <c r="Q220" s="111" t="s">
        <v>791</v>
      </c>
      <c r="R220" s="105" t="s"/>
      <c r="S220" s="105" t="s"/>
      <c r="T220" s="97" t="s"/>
      <c r="U220" s="97" t="s"/>
      <c r="V220" s="97" t="s"/>
      <c r="W220" s="97" t="s"/>
      <c r="X220" s="97" t="s"/>
      <c r="Y220" s="97" t="s"/>
      <c r="Z220" s="109" t="s"/>
      <c r="AA220" s="97" t="s"/>
      <c r="AB220" s="97" t="s"/>
      <c r="AC220" s="97" t="s"/>
      <c r="AD220" s="97" t="s"/>
      <c r="AE220" s="97" t="s"/>
      <c r="AF220" s="97" t="s"/>
      <c r="AG220" s="97" t="s"/>
      <c r="AH220" s="97" t="s"/>
      <c r="AI220" s="97" t="s"/>
      <c r="AJ220" s="97" t="s"/>
      <c r="AK220" s="97" t="s"/>
      <c r="AL220" s="97" t="s"/>
      <c r="AM220" s="97" t="s"/>
    </row>
    <row r="221" spans="1:39" s="431" customFormat="true">
      <c r="A221" s="97">
        <v>220</v>
      </c>
      <c r="B221" s="175" t="s">
        <v>1124</v>
      </c>
      <c r="C221" s="162">
        <v>46098.7323611111</v>
      </c>
      <c r="D221" s="147">
        <v>1</v>
      </c>
      <c r="E221" s="120">
        <v>46099</v>
      </c>
      <c r="F221" s="97" t="s">
        <v>236</v>
      </c>
      <c r="G221" s="175" t="s">
        <v>1125</v>
      </c>
      <c r="H221" s="96" t="s">
        <v>607</v>
      </c>
      <c r="I221" s="97" t="s">
        <v>726</v>
      </c>
      <c r="J221" s="98" t="s">
        <f>=_xlfn.TEXTJOIN("+",TRUE,_xlfn._xlws.FILTER(_xlfn.TEXTSPLIT(H221,,"+"),(_xlfn.TEXTSPLIT(H221,,"+")&lt;&gt;"埃米工具")*(_xlfn.TEXTSPLIT(H221,,"+")&lt;&gt;"埃米广告通")))</f>
        <v>607</v>
      </c>
      <c r="K221" s="109">
        <f>=EDATE(C221,D221)</f>
        <v>46129</v>
      </c>
      <c r="L221" s="109" t="s"/>
      <c r="M221" s="128" t="s"/>
      <c r="N221" s="110" t="s"/>
      <c r="O221" s="110" t="s"/>
      <c r="P221" s="110" t="s">
        <v>1126</v>
      </c>
      <c r="Q221" s="111" t="s"/>
      <c r="R221" s="105" t="s"/>
      <c r="S221" s="105" t="s"/>
      <c r="T221" s="97" t="s"/>
      <c r="U221" s="97" t="s"/>
      <c r="V221" s="97" t="s"/>
      <c r="W221" s="97" t="s"/>
      <c r="X221" s="97" t="s"/>
      <c r="Y221" s="97" t="s"/>
      <c r="Z221" s="109" t="s"/>
      <c r="AA221" s="97" t="s"/>
      <c r="AB221" s="97" t="s"/>
      <c r="AC221" s="97" t="s"/>
      <c r="AD221" s="97" t="s"/>
      <c r="AE221" s="97" t="s"/>
      <c r="AF221" s="97" t="s"/>
      <c r="AG221" s="97" t="s"/>
      <c r="AH221" s="97" t="s"/>
      <c r="AI221" s="97" t="s"/>
      <c r="AJ221" s="97" t="s"/>
      <c r="AK221" s="97" t="s"/>
      <c r="AL221" s="97" t="s"/>
      <c r="AM221" s="97" t="s"/>
    </row>
    <row r="222" spans="1:39" s="426" customFormat="true">
      <c r="A222" s="97">
        <v>221</v>
      </c>
      <c r="B222" s="175" t="s">
        <v>343</v>
      </c>
      <c r="C222" s="162">
        <v>46098.7366782408</v>
      </c>
      <c r="D222" s="147">
        <v>12</v>
      </c>
      <c r="E222" s="120">
        <v>46099</v>
      </c>
      <c r="F222" s="120" t="s">
        <v>228</v>
      </c>
      <c r="G222" s="175" t="s">
        <v>1127</v>
      </c>
      <c r="H222" s="96" t="s">
        <v>607</v>
      </c>
      <c r="I222" s="97" t="s">
        <v>609</v>
      </c>
      <c r="J222" s="97" t="s">
        <f>=_xlfn.TEXTJOIN("+",TRUE,_xlfn._xlws.FILTER(_xlfn.TEXTSPLIT(H222,,"+"),(_xlfn.TEXTSPLIT(H222,,"+")&lt;&gt;"埃米工具")*(_xlfn.TEXTSPLIT(H222,,"+")&lt;&gt;"埃米广告通")))</f>
        <v>607</v>
      </c>
      <c r="K222" s="109">
        <f>=EDATE(C222,D222)</f>
        <v>46463</v>
      </c>
      <c r="L222" s="109" t="s"/>
      <c r="M222" s="128" t="s"/>
      <c r="N222" s="185" t="s">
        <v>611</v>
      </c>
      <c r="O222" s="110" t="s">
        <v>1128</v>
      </c>
      <c r="P222" s="128" t="s"/>
      <c r="Q222" s="111" t="s"/>
      <c r="R222" s="105" t="s"/>
      <c r="S222" s="105" t="s"/>
      <c r="T222" s="97" t="s"/>
      <c r="U222" s="97" t="s"/>
      <c r="V222" s="97" t="s"/>
      <c r="W222" s="97" t="s"/>
      <c r="X222" s="97" t="s"/>
      <c r="Y222" s="97" t="s"/>
      <c r="Z222" s="97" t="s"/>
      <c r="AA222" s="97" t="s"/>
      <c r="AB222" s="97" t="s"/>
      <c r="AC222" s="97" t="s"/>
      <c r="AD222" s="97" t="s"/>
      <c r="AE222" s="97" t="s"/>
      <c r="AF222" s="97" t="s"/>
      <c r="AG222" s="97" t="s"/>
      <c r="AH222" s="97" t="s"/>
      <c r="AI222" s="97" t="s"/>
      <c r="AJ222" s="97" t="s"/>
      <c r="AK222" s="97" t="s"/>
      <c r="AL222" s="97" t="s"/>
      <c r="AM222" s="97" t="s"/>
    </row>
    <row r="223" spans="1:39" s="426" customFormat="true">
      <c r="A223" s="97">
        <v>222</v>
      </c>
      <c r="B223" s="175" t="s">
        <v>111</v>
      </c>
      <c r="C223" s="146">
        <v>46098.7691087962</v>
      </c>
      <c r="D223" s="147">
        <v>12</v>
      </c>
      <c r="E223" s="120">
        <v>46099</v>
      </c>
      <c r="F223" s="97" t="s"/>
      <c r="G223" s="175" t="s">
        <v>547</v>
      </c>
      <c r="H223" s="96" t="s">
        <v>12</v>
      </c>
      <c r="I223" s="97" t="s">
        <v>646</v>
      </c>
      <c r="J223" s="97" t="s">
        <f>=_xlfn.TEXTJOIN("+",TRUE,_xlfn._xlws.FILTER(_xlfn.TEXTSPLIT(H223,,"+"),(_xlfn.TEXTSPLIT(H223,,"+")&lt;&gt;"埃米工具")*(_xlfn.TEXTSPLIT(H223,,"+")&lt;&gt;"埃米广告通")))</f>
        <v>12</v>
      </c>
      <c r="K223" s="109">
        <f>=EDATE(C223,D223)</f>
        <v>46463</v>
      </c>
      <c r="L223" s="137" t="s"/>
      <c r="M223" s="128" t="s"/>
      <c r="N223" s="96" t="s"/>
      <c r="O223" s="110" t="s"/>
      <c r="P223" s="110" t="s">
        <v>1129</v>
      </c>
      <c r="Q223" s="104" t="s">
        <v>534</v>
      </c>
      <c r="R223" s="142" t="s"/>
      <c r="S223" s="97" t="s"/>
      <c r="T223" s="97" t="s"/>
      <c r="U223" s="97" t="s"/>
      <c r="V223" s="97" t="s"/>
      <c r="W223" s="97" t="s"/>
      <c r="X223" s="97" t="s"/>
      <c r="Y223" s="97" t="s"/>
      <c r="Z223" s="109" t="s"/>
      <c r="AA223" s="97" t="s"/>
      <c r="AB223" s="97" t="s"/>
      <c r="AC223" s="97" t="s"/>
      <c r="AD223" s="97" t="s"/>
      <c r="AE223" s="97" t="s"/>
      <c r="AF223" s="97" t="s"/>
      <c r="AG223" s="97" t="s"/>
      <c r="AH223" s="97" t="s"/>
      <c r="AI223" s="97" t="s"/>
      <c r="AJ223" s="97" t="s"/>
      <c r="AK223" s="97" t="s"/>
      <c r="AL223" s="97" t="s"/>
      <c r="AM223" s="97" t="s"/>
    </row>
    <row r="224" spans="1:39" s="426" customFormat="true">
      <c r="A224" s="97">
        <v>223</v>
      </c>
      <c r="B224" s="175" t="s">
        <v>1130</v>
      </c>
      <c r="C224" s="146">
        <v>46098.7704861111</v>
      </c>
      <c r="D224" s="147">
        <v>12</v>
      </c>
      <c r="E224" s="120">
        <v>46099</v>
      </c>
      <c r="F224" s="97" t="s">
        <v>234</v>
      </c>
      <c r="G224" s="175" t="s">
        <v>1131</v>
      </c>
      <c r="H224" s="96" t="s">
        <v>607</v>
      </c>
      <c r="I224" s="97" t="s">
        <v>609</v>
      </c>
      <c r="J224" s="97" t="s">
        <f>=_xlfn.TEXTJOIN("+",TRUE,_xlfn._xlws.FILTER(_xlfn.TEXTSPLIT(H224,,"+"),(_xlfn.TEXTSPLIT(H224,,"+")&lt;&gt;"埃米工具")*(_xlfn.TEXTSPLIT(H224,,"+")&lt;&gt;"埃米广告通")))</f>
        <v>607</v>
      </c>
      <c r="K224" s="109">
        <f>=EDATE(C224,D224)</f>
        <v>46463</v>
      </c>
      <c r="L224" s="109" t="s"/>
      <c r="M224" s="128" t="s"/>
      <c r="N224" s="96" t="s">
        <v>611</v>
      </c>
      <c r="O224" s="110" t="s">
        <v>1082</v>
      </c>
      <c r="P224" s="110" t="s"/>
      <c r="Q224" s="111" t="s"/>
      <c r="R224" s="105" t="s"/>
      <c r="S224" s="105" t="s"/>
      <c r="T224" s="97" t="s"/>
      <c r="U224" s="97" t="s"/>
      <c r="V224" s="97" t="s"/>
      <c r="W224" s="97" t="s"/>
      <c r="X224" s="97" t="s"/>
      <c r="Y224" s="97" t="s"/>
      <c r="Z224" s="97" t="s"/>
      <c r="AA224" s="97" t="s"/>
      <c r="AB224" s="97" t="s"/>
      <c r="AC224" s="97" t="s"/>
      <c r="AD224" s="97" t="s"/>
      <c r="AE224" s="97" t="s"/>
      <c r="AF224" s="97" t="s"/>
      <c r="AG224" s="97" t="s"/>
      <c r="AH224" s="97" t="s"/>
      <c r="AI224" s="97" t="s"/>
      <c r="AJ224" s="97" t="s"/>
      <c r="AK224" s="97" t="s"/>
      <c r="AL224" s="97" t="s"/>
      <c r="AM224" s="97" t="s"/>
    </row>
    <row r="225" spans="1:39" s="426" customFormat="true">
      <c r="A225" s="97">
        <v>224</v>
      </c>
      <c r="B225" s="175" t="s">
        <v>325</v>
      </c>
      <c r="C225" s="162">
        <v>46098.7423958333</v>
      </c>
      <c r="D225" s="147">
        <v>12</v>
      </c>
      <c r="E225" s="120">
        <v>46099</v>
      </c>
      <c r="F225" s="97" t="s">
        <v>228</v>
      </c>
      <c r="G225" s="175" t="s">
        <v>1132</v>
      </c>
      <c r="H225" s="96" t="s">
        <v>607</v>
      </c>
      <c r="I225" s="97" t="s">
        <v>609</v>
      </c>
      <c r="J225" s="97" t="s">
        <f>=_xlfn.TEXTJOIN("+",TRUE,_xlfn._xlws.FILTER(_xlfn.TEXTSPLIT(H225,,"+"),(_xlfn.TEXTSPLIT(H225,,"+")&lt;&gt;"埃米工具")*(_xlfn.TEXTSPLIT(H225,,"+")&lt;&gt;"埃米广告通")))</f>
        <v>607</v>
      </c>
      <c r="K225" s="109">
        <f>=EDATE(C225,D225)</f>
        <v>46463</v>
      </c>
      <c r="L225" s="109" t="s"/>
      <c r="M225" s="128" t="s"/>
      <c r="N225" s="96" t="s">
        <v>611</v>
      </c>
      <c r="O225" s="110" t="s">
        <v>1133</v>
      </c>
      <c r="P225" s="184" t="s"/>
      <c r="Q225" s="111" t="s"/>
      <c r="R225" s="105" t="s"/>
      <c r="S225" s="105" t="s"/>
      <c r="T225" s="97" t="s"/>
      <c r="U225" s="97" t="s"/>
      <c r="V225" s="97" t="s"/>
      <c r="W225" s="97" t="s"/>
      <c r="X225" s="97" t="s"/>
      <c r="Y225" s="97" t="s"/>
      <c r="Z225" s="97" t="s"/>
      <c r="AA225" s="97" t="s"/>
      <c r="AB225" s="97" t="s"/>
      <c r="AC225" s="97" t="s"/>
      <c r="AD225" s="97" t="s"/>
      <c r="AE225" s="97" t="s"/>
      <c r="AF225" s="97" t="s"/>
      <c r="AG225" s="97" t="s"/>
      <c r="AH225" s="97" t="s"/>
      <c r="AI225" s="97" t="s"/>
      <c r="AJ225" s="97" t="s"/>
      <c r="AK225" s="97" t="s"/>
      <c r="AL225" s="97" t="s"/>
      <c r="AM225" s="97" t="s"/>
    </row>
    <row r="226" spans="1:39" s="426" customFormat="true">
      <c r="A226" s="97">
        <v>225</v>
      </c>
      <c r="B226" s="175" t="s">
        <v>112</v>
      </c>
      <c r="C226" s="162">
        <v>46098.7420717593</v>
      </c>
      <c r="D226" s="147">
        <v>12</v>
      </c>
      <c r="E226" s="120">
        <v>46099</v>
      </c>
      <c r="F226" s="152" t="s">
        <v>215</v>
      </c>
      <c r="G226" s="175" t="s">
        <v>1134</v>
      </c>
      <c r="H226" s="96" t="s">
        <v>12</v>
      </c>
      <c r="I226" s="97" t="s">
        <v>646</v>
      </c>
      <c r="J226" s="97" t="s">
        <f>=_xlfn.TEXTJOIN("+",TRUE,_xlfn._xlws.FILTER(_xlfn.TEXTSPLIT(H226,,"+"),(_xlfn.TEXTSPLIT(H226,,"+")&lt;&gt;"埃米工具")*(_xlfn.TEXTSPLIT(H226,,"+")&lt;&gt;"埃米广告通")))</f>
        <v>12</v>
      </c>
      <c r="K226" s="109">
        <f>=EDATE(C226,D226)</f>
        <v>46463</v>
      </c>
      <c r="L226" s="161">
        <v>46107</v>
      </c>
      <c r="M226" s="102" t="s">
        <v>1135</v>
      </c>
      <c r="N226" s="96" t="s">
        <v>611</v>
      </c>
      <c r="O226" s="126" t="s">
        <v>1136</v>
      </c>
      <c r="P226" s="110" t="s"/>
      <c r="Q226" s="111" t="s"/>
      <c r="R226" s="105" t="s"/>
      <c r="S226" s="105" t="s"/>
      <c r="T226" s="97" t="s"/>
      <c r="U226" s="97" t="s"/>
      <c r="V226" s="97" t="s"/>
      <c r="W226" s="97" t="s"/>
      <c r="X226" s="97" t="s"/>
      <c r="Y226" s="97" t="s"/>
      <c r="Z226" s="97" t="s"/>
      <c r="AA226" s="97" t="s"/>
      <c r="AB226" s="97" t="s"/>
      <c r="AC226" s="97" t="s"/>
      <c r="AD226" s="97" t="s"/>
      <c r="AE226" s="97" t="s"/>
      <c r="AF226" s="97" t="s"/>
      <c r="AG226" s="97" t="s"/>
      <c r="AH226" s="97" t="s"/>
      <c r="AI226" s="97" t="s"/>
      <c r="AJ226" s="97" t="s"/>
      <c r="AK226" s="97" t="s"/>
      <c r="AL226" s="97" t="s"/>
      <c r="AM226" s="97" t="s"/>
    </row>
    <row r="227" spans="1:39" s="426" customFormat="true">
      <c r="A227" s="98">
        <v>226</v>
      </c>
      <c r="B227" s="175" t="s">
        <v>113</v>
      </c>
      <c r="C227" s="186">
        <v>46099.4243402778</v>
      </c>
      <c r="D227" s="187">
        <v>12</v>
      </c>
      <c r="E227" s="118">
        <v>46099</v>
      </c>
      <c r="F227" s="98" t="s">
        <v>228</v>
      </c>
      <c r="G227" s="152" t="s">
        <v>1137</v>
      </c>
      <c r="H227" s="101" t="s">
        <v>606</v>
      </c>
      <c r="I227" s="152" t="s">
        <v>609</v>
      </c>
      <c r="J227" s="98" t="s">
        <f>=_xlfn.TEXTJOIN("+",TRUE,_xlfn._xlws.FILTER(_xlfn.TEXTSPLIT(H227,,"+"),(_xlfn.TEXTSPLIT(H227,,"+")&lt;&gt;"埃米工具")*(_xlfn.TEXTSPLIT(H227,,"+")&lt;&gt;"埃米广告通")))</f>
        <v>15</v>
      </c>
      <c r="K227" s="100">
        <f>=EDATE(C227,D227)</f>
        <v>46464</v>
      </c>
      <c r="L227" s="152" t="s"/>
      <c r="M227" s="128" t="s"/>
      <c r="N227" s="96" t="s">
        <v>611</v>
      </c>
      <c r="O227" s="110" t="s"/>
      <c r="P227" s="184" t="s">
        <v>1138</v>
      </c>
      <c r="Q227" s="111" t="s"/>
      <c r="R227" s="105" t="s"/>
      <c r="S227" s="105" t="s"/>
      <c r="T227" s="97" t="s"/>
      <c r="U227" s="97" t="s"/>
      <c r="V227" s="97" t="s"/>
      <c r="W227" s="97" t="s"/>
      <c r="X227" s="97" t="s"/>
      <c r="Y227" s="97" t="s"/>
      <c r="Z227" s="109" t="s"/>
      <c r="AA227" s="97" t="s"/>
      <c r="AB227" s="97" t="s"/>
      <c r="AC227" s="97" t="s"/>
      <c r="AD227" s="97" t="s"/>
      <c r="AE227" s="97" t="s"/>
      <c r="AF227" s="97" t="s"/>
      <c r="AG227" s="97" t="s"/>
      <c r="AH227" s="97" t="s"/>
      <c r="AI227" s="97" t="s"/>
      <c r="AJ227" s="97" t="s"/>
      <c r="AK227" s="97" t="s"/>
      <c r="AL227" s="97" t="s"/>
      <c r="AM227" s="97" t="s"/>
    </row>
    <row r="228" spans="1:39" s="426" customFormat="true">
      <c r="A228" s="97">
        <v>227</v>
      </c>
      <c r="B228" s="175" t="s">
        <v>114</v>
      </c>
      <c r="C228" s="174">
        <v>46099.4472222222</v>
      </c>
      <c r="D228" s="187">
        <v>12</v>
      </c>
      <c r="E228" s="120">
        <v>46099</v>
      </c>
      <c r="F228" s="97" t="s">
        <v>234</v>
      </c>
      <c r="G228" s="188" t="s">
        <v>1139</v>
      </c>
      <c r="H228" s="96" t="s">
        <v>12</v>
      </c>
      <c r="I228" s="152" t="s">
        <v>646</v>
      </c>
      <c r="J228" s="97" t="s">
        <f>=_xlfn.TEXTJOIN("+",TRUE,_xlfn._xlws.FILTER(_xlfn.TEXTSPLIT(H228,,"+"),(_xlfn.TEXTSPLIT(H228,,"+")&lt;&gt;"埃米工具")*(_xlfn.TEXTSPLIT(H228,,"+")&lt;&gt;"埃米广告通")))</f>
        <v>12</v>
      </c>
      <c r="K228" s="109">
        <f>=EDATE(C228,D228)</f>
        <v>46464</v>
      </c>
      <c r="L228" s="161">
        <v>46099</v>
      </c>
      <c r="M228" s="128" t="s">
        <v>610</v>
      </c>
      <c r="N228" s="96" t="s">
        <v>611</v>
      </c>
      <c r="O228" s="135" t="s">
        <v>933</v>
      </c>
      <c r="P228" s="110" t="s"/>
      <c r="Q228" s="111" t="s"/>
      <c r="R228" s="105" t="s"/>
      <c r="S228" s="105" t="s"/>
      <c r="T228" s="97" t="s"/>
      <c r="U228" s="97" t="s"/>
      <c r="V228" s="97" t="s"/>
      <c r="W228" s="97" t="s"/>
      <c r="X228" s="97" t="s"/>
      <c r="Y228" s="97" t="s"/>
      <c r="Z228" s="97" t="s"/>
      <c r="AA228" s="97" t="s"/>
      <c r="AB228" s="97" t="s"/>
      <c r="AC228" s="97" t="s"/>
      <c r="AD228" s="97" t="s"/>
      <c r="AE228" s="97" t="s"/>
      <c r="AF228" s="97" t="s"/>
      <c r="AG228" s="97" t="s"/>
      <c r="AH228" s="97" t="s"/>
      <c r="AI228" s="97" t="s"/>
      <c r="AJ228" s="97" t="s"/>
      <c r="AK228" s="97" t="s"/>
      <c r="AL228" s="97" t="s"/>
      <c r="AM228" s="97" t="s"/>
    </row>
    <row r="229" spans="1:39" s="426" customFormat="true">
      <c r="A229" s="97">
        <v>228</v>
      </c>
      <c r="B229" s="175" t="s">
        <v>115</v>
      </c>
      <c r="C229" s="174">
        <v>46099.4</v>
      </c>
      <c r="D229" s="187">
        <v>12</v>
      </c>
      <c r="E229" s="120">
        <v>46099</v>
      </c>
      <c r="F229" s="97" t="s">
        <v>236</v>
      </c>
      <c r="G229" s="157" t="s">
        <v>1140</v>
      </c>
      <c r="H229" s="96" t="s">
        <v>12</v>
      </c>
      <c r="I229" s="152" t="s">
        <v>609</v>
      </c>
      <c r="J229" s="97" t="s">
        <f>=_xlfn.TEXTJOIN("+",TRUE,_xlfn._xlws.FILTER(_xlfn.TEXTSPLIT(H229,,"+"),(_xlfn.TEXTSPLIT(H229,,"+")&lt;&gt;"埃米工具")*(_xlfn.TEXTSPLIT(H229,,"+")&lt;&gt;"埃米广告通")))</f>
        <v>12</v>
      </c>
      <c r="K229" s="109">
        <f>=EDATE(C229,D229)</f>
        <v>46464</v>
      </c>
      <c r="L229" s="161">
        <v>46104</v>
      </c>
      <c r="M229" s="97" t="s">
        <v>1141</v>
      </c>
      <c r="N229" s="189" t="s">
        <v>611</v>
      </c>
      <c r="O229" s="135" t="s">
        <v>933</v>
      </c>
      <c r="P229" s="110" t="s"/>
      <c r="Q229" s="111" t="s"/>
      <c r="R229" s="105" t="s"/>
      <c r="S229" s="105" t="s"/>
      <c r="T229" s="97" t="s"/>
      <c r="U229" s="97" t="s"/>
      <c r="V229" s="97" t="s"/>
      <c r="W229" s="97" t="s"/>
      <c r="X229" s="97" t="s"/>
      <c r="Y229" s="97" t="s"/>
      <c r="Z229" s="97" t="s"/>
      <c r="AA229" s="97" t="s"/>
      <c r="AB229" s="97" t="s"/>
      <c r="AC229" s="97" t="s"/>
      <c r="AD229" s="97" t="s"/>
      <c r="AE229" s="97" t="s"/>
      <c r="AF229" s="97" t="s"/>
      <c r="AG229" s="97" t="s"/>
      <c r="AH229" s="97" t="s"/>
      <c r="AI229" s="97" t="s"/>
      <c r="AJ229" s="97" t="s"/>
      <c r="AK229" s="97" t="s"/>
      <c r="AL229" s="97" t="s"/>
      <c r="AM229" s="97" t="s"/>
    </row>
    <row r="230" spans="1:39" s="426" customFormat="true">
      <c r="A230" s="97">
        <v>229</v>
      </c>
      <c r="B230" s="153" t="s">
        <v>323</v>
      </c>
      <c r="C230" s="177">
        <v>46099.4097222222</v>
      </c>
      <c r="D230" s="187">
        <v>12</v>
      </c>
      <c r="E230" s="118">
        <v>46099</v>
      </c>
      <c r="F230" s="97" t="s">
        <v>228</v>
      </c>
      <c r="G230" s="175" t="s">
        <v>1142</v>
      </c>
      <c r="H230" s="96" t="s">
        <v>607</v>
      </c>
      <c r="I230" s="152" t="s">
        <v>609</v>
      </c>
      <c r="J230" s="97" t="s">
        <f>=_xlfn.TEXTJOIN("+",TRUE,_xlfn._xlws.FILTER(_xlfn.TEXTSPLIT(H230,,"+"),(_xlfn.TEXTSPLIT(H230,,"+")&lt;&gt;"埃米工具")*(_xlfn.TEXTSPLIT(H230,,"+")&lt;&gt;"埃米广告通")))</f>
        <v>607</v>
      </c>
      <c r="K230" s="109">
        <f>=EDATE(C230,D230)</f>
        <v>46464</v>
      </c>
      <c r="L230" s="120" t="s"/>
      <c r="M230" s="128" t="s"/>
      <c r="N230" s="96" t="s">
        <v>611</v>
      </c>
      <c r="O230" s="110" t="s">
        <v>1133</v>
      </c>
      <c r="P230" s="184" t="s"/>
      <c r="Q230" s="111" t="s"/>
      <c r="R230" s="105" t="s"/>
      <c r="S230" s="105" t="s"/>
      <c r="T230" s="97" t="s"/>
      <c r="U230" s="97" t="s"/>
      <c r="V230" s="97" t="s"/>
      <c r="W230" s="97" t="s"/>
      <c r="X230" s="97" t="s"/>
      <c r="Y230" s="97" t="s"/>
      <c r="Z230" s="97" t="s"/>
      <c r="AA230" s="97" t="s"/>
      <c r="AB230" s="97" t="s"/>
      <c r="AC230" s="97" t="s"/>
      <c r="AD230" s="97" t="s"/>
      <c r="AE230" s="97" t="s"/>
      <c r="AF230" s="97" t="s"/>
      <c r="AG230" s="97" t="s"/>
      <c r="AH230" s="97" t="s"/>
      <c r="AI230" s="97" t="s"/>
      <c r="AJ230" s="97" t="s"/>
      <c r="AK230" s="97" t="s"/>
      <c r="AL230" s="97" t="s"/>
      <c r="AM230" s="97" t="s"/>
    </row>
    <row r="231" spans="1:39" s="426" customFormat="true">
      <c r="A231" s="97">
        <v>230</v>
      </c>
      <c r="B231" s="175" t="s">
        <v>286</v>
      </c>
      <c r="C231" s="174">
        <v>46099.4076388889</v>
      </c>
      <c r="D231" s="187">
        <v>12</v>
      </c>
      <c r="E231" s="120">
        <v>46099</v>
      </c>
      <c r="F231" s="97" t="s">
        <v>228</v>
      </c>
      <c r="G231" s="175" t="s">
        <v>1143</v>
      </c>
      <c r="H231" s="96" t="s">
        <v>607</v>
      </c>
      <c r="I231" s="152" t="s">
        <v>609</v>
      </c>
      <c r="J231" s="97" t="s">
        <f>=_xlfn.TEXTJOIN("+",TRUE,_xlfn._xlws.FILTER(_xlfn.TEXTSPLIT(H231,,"+"),(_xlfn.TEXTSPLIT(H231,,"+")&lt;&gt;"埃米工具")*(_xlfn.TEXTSPLIT(H231,,"+")&lt;&gt;"埃米广告通")))</f>
        <v>607</v>
      </c>
      <c r="K231" s="109">
        <f>=EDATE(C231,D231)</f>
        <v>46464</v>
      </c>
      <c r="L231" s="109" t="s"/>
      <c r="M231" s="128" t="s"/>
      <c r="N231" s="96" t="s">
        <v>611</v>
      </c>
      <c r="O231" s="110" t="s">
        <v>1144</v>
      </c>
      <c r="P231" s="184" t="s"/>
      <c r="Q231" s="111" t="s"/>
      <c r="R231" s="105" t="s"/>
      <c r="S231" s="105" t="s"/>
      <c r="T231" s="97" t="s"/>
      <c r="U231" s="97" t="s"/>
      <c r="V231" s="97" t="s"/>
      <c r="W231" s="97" t="s"/>
      <c r="X231" s="97" t="s"/>
      <c r="Y231" s="97" t="s"/>
      <c r="Z231" s="97" t="s"/>
      <c r="AA231" s="97" t="s"/>
      <c r="AB231" s="97" t="s"/>
      <c r="AC231" s="97" t="s"/>
      <c r="AD231" s="97" t="s"/>
      <c r="AE231" s="97" t="s"/>
      <c r="AF231" s="97" t="s"/>
      <c r="AG231" s="97" t="s"/>
      <c r="AH231" s="97" t="s"/>
      <c r="AI231" s="97" t="s"/>
      <c r="AJ231" s="97" t="s"/>
      <c r="AK231" s="97" t="s"/>
      <c r="AL231" s="97" t="s"/>
      <c r="AM231" s="97" t="s"/>
    </row>
    <row r="232" spans="1:39" s="426" customFormat="true">
      <c r="A232" s="97">
        <v>231</v>
      </c>
      <c r="B232" s="175" t="s">
        <v>291</v>
      </c>
      <c r="C232" s="174">
        <v>46099.4111111111</v>
      </c>
      <c r="D232" s="187">
        <v>12</v>
      </c>
      <c r="E232" s="120">
        <v>46099</v>
      </c>
      <c r="F232" s="97" t="s">
        <v>224</v>
      </c>
      <c r="G232" s="175" t="s">
        <v>555</v>
      </c>
      <c r="H232" s="96" t="s">
        <v>607</v>
      </c>
      <c r="I232" s="152" t="s">
        <v>609</v>
      </c>
      <c r="J232" s="97" t="s">
        <f>=_xlfn.TEXTJOIN("+",TRUE,_xlfn._xlws.FILTER(_xlfn.TEXTSPLIT(H232,,"+"),(_xlfn.TEXTSPLIT(H232,,"+")&lt;&gt;"埃米工具")*(_xlfn.TEXTSPLIT(H232,,"+")&lt;&gt;"埃米广告通")))</f>
        <v>607</v>
      </c>
      <c r="K232" s="109">
        <f>=EDATE(C232,D232)</f>
        <v>46464</v>
      </c>
      <c r="L232" s="128" t="s"/>
      <c r="M232" s="128" t="s"/>
      <c r="N232" s="96" t="s">
        <v>611</v>
      </c>
      <c r="O232" s="110" t="s">
        <v>703</v>
      </c>
      <c r="P232" s="110" t="s"/>
      <c r="Q232" s="111" t="s"/>
      <c r="R232" s="105" t="s"/>
      <c r="S232" s="105" t="s"/>
      <c r="T232" s="97" t="s"/>
      <c r="U232" s="97" t="s"/>
      <c r="V232" s="97" t="s"/>
      <c r="W232" s="97" t="s"/>
      <c r="X232" s="97" t="s"/>
      <c r="Y232" s="97" t="s"/>
      <c r="Z232" s="97" t="s"/>
      <c r="AA232" s="97" t="s"/>
      <c r="AB232" s="97" t="s"/>
      <c r="AC232" s="97" t="s"/>
      <c r="AD232" s="97" t="s"/>
      <c r="AE232" s="97" t="s"/>
      <c r="AF232" s="97" t="s"/>
      <c r="AG232" s="97" t="s"/>
      <c r="AH232" s="97" t="s"/>
      <c r="AI232" s="97" t="s"/>
      <c r="AJ232" s="97" t="s"/>
      <c r="AK232" s="97" t="s"/>
      <c r="AL232" s="97" t="s"/>
      <c r="AM232" s="97" t="s"/>
    </row>
    <row r="233" spans="1:39" s="426" customFormat="true">
      <c r="A233" s="97">
        <v>232</v>
      </c>
      <c r="B233" s="137" t="s">
        <v>319</v>
      </c>
      <c r="C233" s="186">
        <v>46099.4665277778</v>
      </c>
      <c r="D233" s="147">
        <v>12</v>
      </c>
      <c r="E233" s="120">
        <v>46099</v>
      </c>
      <c r="F233" s="97" t="s">
        <v>215</v>
      </c>
      <c r="G233" s="179" t="s">
        <v>1145</v>
      </c>
      <c r="H233" s="96" t="s">
        <v>607</v>
      </c>
      <c r="I233" s="97" t="s">
        <v>609</v>
      </c>
      <c r="J233" s="97" t="s">
        <f>=_xlfn.TEXTJOIN("+",TRUE,_xlfn._xlws.FILTER(_xlfn.TEXTSPLIT(H233,,"+"),(_xlfn.TEXTSPLIT(H233,,"+")&lt;&gt;"埃米工具")*(_xlfn.TEXTSPLIT(H233,,"+")&lt;&gt;"埃米广告通")))</f>
        <v>607</v>
      </c>
      <c r="K233" s="109">
        <f>=EDATE(C233,D233)</f>
        <v>46464</v>
      </c>
      <c r="L233" s="109" t="s"/>
      <c r="M233" s="128" t="s"/>
      <c r="N233" s="96" t="s">
        <v>611</v>
      </c>
      <c r="O233" s="110" t="s">
        <v>294</v>
      </c>
      <c r="P233" s="110" t="s"/>
      <c r="Q233" s="111" t="s"/>
      <c r="R233" s="105" t="s"/>
      <c r="S233" s="105" t="s"/>
      <c r="T233" s="97" t="s"/>
      <c r="U233" s="97" t="s"/>
      <c r="V233" s="97" t="s"/>
      <c r="W233" s="97" t="s"/>
      <c r="X233" s="97" t="s"/>
      <c r="Y233" s="97" t="s"/>
      <c r="Z233" s="97" t="s"/>
      <c r="AA233" s="97" t="s"/>
      <c r="AB233" s="97" t="s"/>
      <c r="AC233" s="97" t="s"/>
      <c r="AD233" s="97" t="s"/>
      <c r="AE233" s="97" t="s"/>
      <c r="AF233" s="97" t="s"/>
      <c r="AG233" s="97" t="s"/>
      <c r="AH233" s="97" t="s"/>
      <c r="AI233" s="97" t="s"/>
      <c r="AJ233" s="97" t="s"/>
      <c r="AK233" s="97" t="s"/>
      <c r="AL233" s="97" t="s"/>
      <c r="AM233" s="97" t="s"/>
    </row>
    <row r="234" spans="1:39" s="431" customFormat="true">
      <c r="A234" s="97">
        <v>233</v>
      </c>
      <c r="B234" s="153" t="s">
        <v>293</v>
      </c>
      <c r="C234" s="177">
        <v>46099.6006944444</v>
      </c>
      <c r="D234" s="147">
        <v>12</v>
      </c>
      <c r="E234" s="120">
        <v>46099</v>
      </c>
      <c r="F234" s="97" t="s">
        <v>228</v>
      </c>
      <c r="G234" s="175" t="s">
        <v>1146</v>
      </c>
      <c r="H234" s="96" t="s">
        <v>607</v>
      </c>
      <c r="I234" s="97" t="s">
        <v>609</v>
      </c>
      <c r="J234" s="97" t="s">
        <f>=_xlfn.TEXTJOIN("+",TRUE,_xlfn._xlws.FILTER(_xlfn.TEXTSPLIT(H234,,"+"),(_xlfn.TEXTSPLIT(H234,,"+")&lt;&gt;"埃米工具")*(_xlfn.TEXTSPLIT(H234,,"+")&lt;&gt;"埃米广告通")))</f>
        <v>607</v>
      </c>
      <c r="K234" s="109">
        <f>=EDATE(C234,D234)</f>
        <v>46464</v>
      </c>
      <c r="L234" s="109" t="s"/>
      <c r="M234" s="128" t="s"/>
      <c r="N234" s="96" t="s">
        <v>611</v>
      </c>
      <c r="O234" s="110" t="s">
        <v>1147</v>
      </c>
      <c r="P234" s="184" t="s"/>
      <c r="Q234" s="111" t="s"/>
      <c r="R234" s="105" t="s"/>
      <c r="S234" s="105" t="s"/>
      <c r="T234" s="97" t="s"/>
      <c r="U234" s="97" t="s"/>
      <c r="V234" s="97" t="s"/>
      <c r="W234" s="97" t="s"/>
      <c r="X234" s="97" t="s"/>
      <c r="Y234" s="97" t="s"/>
      <c r="Z234" s="97" t="s"/>
      <c r="AA234" s="97" t="s"/>
      <c r="AB234" s="97" t="s"/>
      <c r="AC234" s="97" t="s"/>
      <c r="AD234" s="97" t="s"/>
      <c r="AE234" s="97" t="s"/>
      <c r="AF234" s="97" t="s"/>
      <c r="AG234" s="97" t="s"/>
      <c r="AH234" s="97" t="s"/>
      <c r="AI234" s="97" t="s"/>
      <c r="AJ234" s="97" t="s"/>
      <c r="AK234" s="97" t="s"/>
      <c r="AL234" s="97" t="s"/>
      <c r="AM234" s="97" t="s"/>
    </row>
    <row r="235" spans="1:39" s="431" customFormat="true">
      <c r="A235" s="97">
        <v>234</v>
      </c>
      <c r="B235" s="175" t="s">
        <v>117</v>
      </c>
      <c r="C235" s="174">
        <v>46099.5888888889</v>
      </c>
      <c r="D235" s="147">
        <v>12</v>
      </c>
      <c r="E235" s="120">
        <v>46099</v>
      </c>
      <c r="F235" s="97" t="s">
        <v>224</v>
      </c>
      <c r="G235" s="175" t="s">
        <v>1148</v>
      </c>
      <c r="H235" s="96" t="s">
        <v>12</v>
      </c>
      <c r="I235" s="97" t="s">
        <v>646</v>
      </c>
      <c r="J235" s="97" t="s">
        <f>=_xlfn.TEXTJOIN("+",TRUE,_xlfn._xlws.FILTER(_xlfn.TEXTSPLIT(H235,,"+"),(_xlfn.TEXTSPLIT(H235,,"+")&lt;&gt;"埃米工具")*(_xlfn.TEXTSPLIT(H235,,"+")&lt;&gt;"埃米广告通")))</f>
        <v>12</v>
      </c>
      <c r="K235" s="109">
        <f>=EDATE(C235,D235)</f>
        <v>46464</v>
      </c>
      <c r="L235" s="120">
        <v>46106</v>
      </c>
      <c r="M235" s="128" t="s">
        <v>610</v>
      </c>
      <c r="N235" s="96" t="s">
        <v>611</v>
      </c>
      <c r="O235" s="110" t="s">
        <v>1149</v>
      </c>
      <c r="P235" s="110" t="s"/>
      <c r="Q235" s="111" t="s"/>
      <c r="R235" s="105" t="s"/>
      <c r="S235" s="105" t="s"/>
      <c r="T235" s="97" t="s"/>
      <c r="U235" s="97" t="s"/>
      <c r="V235" s="97" t="s"/>
      <c r="W235" s="97" t="s"/>
      <c r="X235" s="97" t="s"/>
      <c r="Y235" s="97" t="s"/>
      <c r="Z235" s="109" t="s"/>
      <c r="AA235" s="97" t="s"/>
      <c r="AB235" s="97" t="s"/>
      <c r="AC235" s="97" t="s"/>
      <c r="AD235" s="97" t="s"/>
      <c r="AE235" s="97" t="s"/>
      <c r="AF235" s="97" t="s"/>
      <c r="AG235" s="97" t="s"/>
      <c r="AH235" s="97" t="s"/>
      <c r="AI235" s="97" t="s"/>
      <c r="AJ235" s="97" t="s"/>
      <c r="AK235" s="97" t="s"/>
      <c r="AL235" s="97" t="s"/>
      <c r="AM235" s="97" t="s"/>
    </row>
    <row r="236" spans="1:39" s="431" customFormat="true">
      <c r="A236" s="97">
        <v>235</v>
      </c>
      <c r="B236" s="175" t="s">
        <v>116</v>
      </c>
      <c r="C236" s="190">
        <v>46099.5968402778</v>
      </c>
      <c r="D236" s="147">
        <v>12</v>
      </c>
      <c r="E236" s="120">
        <v>46099</v>
      </c>
      <c r="F236" s="97" t="s">
        <v>224</v>
      </c>
      <c r="G236" s="175" t="s">
        <v>1150</v>
      </c>
      <c r="H236" s="96" t="s">
        <v>12</v>
      </c>
      <c r="I236" s="97" t="s">
        <v>609</v>
      </c>
      <c r="J236" s="97" t="s">
        <f>=_xlfn.TEXTJOIN("+",TRUE,_xlfn._xlws.FILTER(_xlfn.TEXTSPLIT(H236,,"+"),(_xlfn.TEXTSPLIT(H236,,"+")&lt;&gt;"埃米工具")*(_xlfn.TEXTSPLIT(H236,,"+")&lt;&gt;"埃米广告通")))</f>
        <v>12</v>
      </c>
      <c r="K236" s="109">
        <f>=EDATE(C236,D236)</f>
        <v>46464</v>
      </c>
      <c r="L236" s="120">
        <v>46100</v>
      </c>
      <c r="M236" s="128" t="s">
        <v>1151</v>
      </c>
      <c r="N236" s="96" t="s">
        <v>611</v>
      </c>
      <c r="O236" s="110" t="s">
        <v>1152</v>
      </c>
      <c r="P236" s="110" t="s"/>
      <c r="Q236" s="111" t="s"/>
      <c r="R236" s="105" t="s"/>
      <c r="S236" s="105" t="s"/>
      <c r="T236" s="97" t="s"/>
      <c r="U236" s="97" t="s"/>
      <c r="V236" s="97" t="s"/>
      <c r="W236" s="97" t="s"/>
      <c r="X236" s="97" t="s"/>
      <c r="Y236" s="97" t="s"/>
      <c r="Z236" s="109" t="s"/>
      <c r="AA236" s="97" t="s"/>
      <c r="AB236" s="97" t="s"/>
      <c r="AC236" s="97" t="s"/>
      <c r="AD236" s="97" t="s"/>
      <c r="AE236" s="97" t="s"/>
      <c r="AF236" s="97" t="s"/>
      <c r="AG236" s="97" t="s"/>
      <c r="AH236" s="97" t="s"/>
      <c r="AI236" s="97" t="s"/>
      <c r="AJ236" s="97" t="s"/>
      <c r="AK236" s="97" t="s"/>
      <c r="AL236" s="97" t="s"/>
      <c r="AM236" s="97" t="s"/>
    </row>
    <row r="237" spans="1:39" s="431" customFormat="true">
      <c r="A237" s="97">
        <v>236</v>
      </c>
      <c r="B237" s="175" t="s">
        <v>118</v>
      </c>
      <c r="C237" s="146">
        <v>46099.5337847222</v>
      </c>
      <c r="D237" s="147">
        <v>12</v>
      </c>
      <c r="E237" s="120">
        <v>46099</v>
      </c>
      <c r="F237" s="97" t="s">
        <v>228</v>
      </c>
      <c r="G237" s="175" t="s">
        <v>1153</v>
      </c>
      <c r="H237" s="96" t="s">
        <v>12</v>
      </c>
      <c r="I237" s="97" t="s">
        <v>646</v>
      </c>
      <c r="J237" s="97" t="s">
        <f>=_xlfn.TEXTJOIN("+",TRUE,_xlfn._xlws.FILTER(_xlfn.TEXTSPLIT(H237,,"+"),(_xlfn.TEXTSPLIT(H237,,"+")&lt;&gt;"埃米工具")*(_xlfn.TEXTSPLIT(H237,,"+")&lt;&gt;"埃米广告通")))</f>
        <v>12</v>
      </c>
      <c r="K237" s="109">
        <f>=EDATE(C237,D237)</f>
        <v>46464</v>
      </c>
      <c r="L237" s="120">
        <v>46104</v>
      </c>
      <c r="M237" s="128" t="s">
        <v>1154</v>
      </c>
      <c r="N237" s="96" t="s">
        <v>611</v>
      </c>
      <c r="O237" s="110" t="s">
        <v>1133</v>
      </c>
      <c r="P237" s="184" t="s"/>
      <c r="Q237" s="111" t="s"/>
      <c r="R237" s="105" t="s"/>
      <c r="S237" s="105" t="s"/>
      <c r="T237" s="97" t="s"/>
      <c r="U237" s="97" t="s"/>
      <c r="V237" s="97" t="s"/>
      <c r="W237" s="97" t="s"/>
      <c r="X237" s="97" t="s"/>
      <c r="Y237" s="97" t="s"/>
      <c r="Z237" s="97" t="s"/>
      <c r="AA237" s="97" t="s"/>
      <c r="AB237" s="97" t="s"/>
      <c r="AC237" s="97" t="s"/>
      <c r="AD237" s="97" t="s"/>
      <c r="AE237" s="97" t="s"/>
      <c r="AF237" s="97" t="s"/>
      <c r="AG237" s="97" t="s"/>
      <c r="AH237" s="97" t="s"/>
      <c r="AI237" s="97" t="s"/>
      <c r="AJ237" s="97" t="s"/>
      <c r="AK237" s="97" t="s"/>
      <c r="AL237" s="97" t="s"/>
      <c r="AM237" s="97" t="s"/>
    </row>
    <row r="238" spans="1:39" s="431" customFormat="true">
      <c r="A238" s="97">
        <v>237</v>
      </c>
      <c r="B238" s="166" t="s">
        <v>1155</v>
      </c>
      <c r="C238" s="162">
        <v>46099.6101157407</v>
      </c>
      <c r="D238" s="147">
        <v>12</v>
      </c>
      <c r="E238" s="120">
        <v>46099</v>
      </c>
      <c r="F238" s="97" t="s">
        <v>228</v>
      </c>
      <c r="G238" s="168" t="s">
        <v>1156</v>
      </c>
      <c r="H238" s="96" t="s">
        <v>607</v>
      </c>
      <c r="I238" s="166" t="s">
        <v>609</v>
      </c>
      <c r="J238" s="97" t="s">
        <f>=_xlfn.TEXTJOIN("+",TRUE,_xlfn._xlws.FILTER(_xlfn.TEXTSPLIT(H238,,"+"),(_xlfn.TEXTSPLIT(H238,,"+")&lt;&gt;"埃米工具")*(_xlfn.TEXTSPLIT(H238,,"+")&lt;&gt;"埃米广告通")))</f>
        <v>607</v>
      </c>
      <c r="K238" s="109">
        <f>=EDATE(C238,D238)</f>
        <v>46464</v>
      </c>
      <c r="L238" s="109" t="s"/>
      <c r="M238" s="128" t="s"/>
      <c r="N238" s="96" t="s">
        <v>611</v>
      </c>
      <c r="O238" s="110" t="s">
        <v>1157</v>
      </c>
      <c r="P238" s="110" t="s"/>
      <c r="Q238" s="111" t="s"/>
      <c r="R238" s="105" t="s"/>
      <c r="S238" s="105" t="s"/>
      <c r="T238" s="97" t="s"/>
      <c r="U238" s="97" t="s"/>
      <c r="V238" s="97" t="s"/>
      <c r="W238" s="97" t="s"/>
      <c r="X238" s="97" t="s"/>
      <c r="Y238" s="97" t="s"/>
      <c r="Z238" s="97" t="s"/>
      <c r="AA238" s="97" t="s"/>
      <c r="AB238" s="97" t="s"/>
      <c r="AC238" s="97" t="s"/>
      <c r="AD238" s="97" t="s"/>
      <c r="AE238" s="97" t="s"/>
      <c r="AF238" s="97" t="s"/>
      <c r="AG238" s="97" t="s"/>
      <c r="AH238" s="97" t="s"/>
      <c r="AI238" s="97" t="s"/>
      <c r="AJ238" s="97" t="s"/>
      <c r="AK238" s="97" t="s"/>
      <c r="AL238" s="97" t="s"/>
      <c r="AM238" s="97" t="s"/>
    </row>
    <row r="239" spans="1:39" s="432" customFormat="true">
      <c r="A239" s="97">
        <v>238</v>
      </c>
      <c r="B239" s="166" t="s">
        <v>304</v>
      </c>
      <c r="C239" s="146">
        <v>46099.625</v>
      </c>
      <c r="D239" s="147">
        <v>12</v>
      </c>
      <c r="E239" s="120">
        <v>46099</v>
      </c>
      <c r="F239" s="97" t="s">
        <v>236</v>
      </c>
      <c r="G239" s="157" t="s">
        <v>1158</v>
      </c>
      <c r="H239" s="96" t="s">
        <v>607</v>
      </c>
      <c r="I239" s="97" t="s">
        <v>609</v>
      </c>
      <c r="J239" s="97" t="s">
        <f>=_xlfn.TEXTJOIN("+",TRUE,_xlfn._xlws.FILTER(_xlfn.TEXTSPLIT(H239,,"+"),(_xlfn.TEXTSPLIT(H239,,"+")&lt;&gt;"埃米工具")*(_xlfn.TEXTSPLIT(H239,,"+")&lt;&gt;"埃米广告通")))</f>
        <v>607</v>
      </c>
      <c r="K239" s="109">
        <f>=EDATE(C239,D239)</f>
        <v>46464</v>
      </c>
      <c r="L239" s="109" t="s"/>
      <c r="M239" s="128" t="s"/>
      <c r="N239" s="189" t="s">
        <v>611</v>
      </c>
      <c r="O239" s="110" t="s">
        <v>1054</v>
      </c>
      <c r="P239" s="110" t="s">
        <v>1159</v>
      </c>
      <c r="Q239" s="111" t="s"/>
      <c r="R239" s="105" t="s"/>
      <c r="S239" s="105" t="s"/>
      <c r="T239" s="97" t="s"/>
      <c r="U239" s="97" t="s"/>
      <c r="V239" s="97" t="s"/>
      <c r="W239" s="97" t="s"/>
      <c r="X239" s="97" t="s"/>
      <c r="Y239" s="97" t="s"/>
      <c r="Z239" s="97" t="s"/>
      <c r="AA239" s="97" t="s"/>
      <c r="AB239" s="97" t="s"/>
      <c r="AC239" s="97" t="s"/>
      <c r="AD239" s="97" t="s"/>
      <c r="AE239" s="97" t="s"/>
      <c r="AF239" s="97" t="s"/>
      <c r="AG239" s="97" t="s"/>
      <c r="AH239" s="97" t="s"/>
      <c r="AI239" s="97" t="s"/>
      <c r="AJ239" s="97" t="s"/>
      <c r="AK239" s="97" t="s"/>
      <c r="AL239" s="97" t="s"/>
      <c r="AM239" s="97" t="s"/>
    </row>
    <row r="240" spans="1:39" s="431" customFormat="true">
      <c r="A240" s="97">
        <v>239</v>
      </c>
      <c r="B240" s="137" t="s">
        <v>119</v>
      </c>
      <c r="C240" s="146">
        <v>46099.7156365741</v>
      </c>
      <c r="D240" s="97">
        <v>12</v>
      </c>
      <c r="E240" s="120">
        <v>46099</v>
      </c>
      <c r="F240" s="97" t="s">
        <v>234</v>
      </c>
      <c r="G240" s="137" t="s">
        <v>1160</v>
      </c>
      <c r="H240" s="96" t="s">
        <v>12</v>
      </c>
      <c r="I240" s="97" t="s">
        <v>609</v>
      </c>
      <c r="J240" s="97" t="s">
        <f>=_xlfn.TEXTJOIN("+",TRUE,_xlfn._xlws.FILTER(_xlfn.TEXTSPLIT(H240,,"+"),(_xlfn.TEXTSPLIT(H240,,"+")&lt;&gt;"埃米工具")*(_xlfn.TEXTSPLIT(H240,,"+")&lt;&gt;"埃米广告通")))</f>
        <v>12</v>
      </c>
      <c r="K240" s="109">
        <f>=EDATE(C240,D240)</f>
        <v>46464</v>
      </c>
      <c r="L240" s="120">
        <v>46101</v>
      </c>
      <c r="M240" s="128" t="s">
        <v>1154</v>
      </c>
      <c r="N240" s="96" t="s">
        <v>611</v>
      </c>
      <c r="O240" s="110" t="s">
        <v>1133</v>
      </c>
      <c r="P240" s="110" t="s"/>
      <c r="Q240" s="111" t="s"/>
      <c r="R240" s="105" t="s"/>
      <c r="S240" s="105" t="s"/>
      <c r="T240" s="97" t="s"/>
      <c r="U240" s="97" t="s"/>
      <c r="V240" s="97" t="s"/>
      <c r="W240" s="97" t="s"/>
      <c r="X240" s="97" t="s"/>
      <c r="Y240" s="97" t="s"/>
      <c r="Z240" s="97" t="s"/>
      <c r="AA240" s="97" t="s"/>
      <c r="AB240" s="97" t="s"/>
      <c r="AC240" s="97" t="s"/>
      <c r="AD240" s="97" t="s"/>
      <c r="AE240" s="97" t="s"/>
      <c r="AF240" s="97" t="s"/>
      <c r="AG240" s="97" t="s"/>
      <c r="AH240" s="97" t="s"/>
      <c r="AI240" s="97" t="s"/>
      <c r="AJ240" s="97" t="s"/>
      <c r="AK240" s="97" t="s"/>
      <c r="AL240" s="97" t="s"/>
      <c r="AM240" s="97" t="s"/>
    </row>
    <row r="241" spans="1:39" s="431" customFormat="true">
      <c r="A241" s="97">
        <v>240</v>
      </c>
      <c r="B241" s="137" t="s">
        <v>337</v>
      </c>
      <c r="C241" s="146">
        <v>46099.7077083333</v>
      </c>
      <c r="D241" s="97">
        <v>12</v>
      </c>
      <c r="E241" s="120">
        <v>46099</v>
      </c>
      <c r="F241" s="97" t="s">
        <v>228</v>
      </c>
      <c r="G241" s="137" t="s">
        <v>1161</v>
      </c>
      <c r="H241" s="96" t="s">
        <v>607</v>
      </c>
      <c r="I241" s="97" t="s">
        <v>609</v>
      </c>
      <c r="J241" s="97" t="s">
        <f>=_xlfn.TEXTJOIN("+",TRUE,_xlfn._xlws.FILTER(_xlfn.TEXTSPLIT(H241,,"+"),(_xlfn.TEXTSPLIT(H241,,"+")&lt;&gt;"埃米工具")*(_xlfn.TEXTSPLIT(H241,,"+")&lt;&gt;"埃米广告通")))</f>
        <v>607</v>
      </c>
      <c r="K241" s="109">
        <f>=EDATE(C241,D241)</f>
        <v>46464</v>
      </c>
      <c r="L241" s="109" t="s"/>
      <c r="M241" s="128" t="s"/>
      <c r="N241" s="96" t="s">
        <v>611</v>
      </c>
      <c r="O241" s="184" t="s">
        <v>1162</v>
      </c>
      <c r="P241" s="184" t="s"/>
      <c r="Q241" s="111" t="s"/>
      <c r="R241" s="105" t="s"/>
      <c r="S241" s="105" t="s"/>
      <c r="T241" s="97" t="s"/>
      <c r="U241" s="97" t="s"/>
      <c r="V241" s="97" t="s"/>
      <c r="W241" s="97" t="s"/>
      <c r="X241" s="97" t="s"/>
      <c r="Y241" s="97" t="s"/>
      <c r="Z241" s="97" t="s"/>
      <c r="AA241" s="97" t="s"/>
      <c r="AB241" s="97" t="s"/>
      <c r="AC241" s="97" t="s"/>
      <c r="AD241" s="97" t="s"/>
      <c r="AE241" s="97" t="s"/>
      <c r="AF241" s="97" t="s"/>
      <c r="AG241" s="97" t="s"/>
      <c r="AH241" s="97" t="s"/>
      <c r="AI241" s="97" t="s"/>
      <c r="AJ241" s="97" t="s"/>
      <c r="AK241" s="97" t="s"/>
      <c r="AL241" s="97" t="s"/>
      <c r="AM241" s="97" t="s"/>
    </row>
    <row r="242" spans="1:39" s="431" customFormat="true">
      <c r="A242" s="97">
        <v>241</v>
      </c>
      <c r="B242" s="137" t="s">
        <v>296</v>
      </c>
      <c r="C242" s="146">
        <v>46099.671087963</v>
      </c>
      <c r="D242" s="97">
        <v>12</v>
      </c>
      <c r="E242" s="120">
        <v>46099</v>
      </c>
      <c r="F242" s="97" t="s">
        <v>228</v>
      </c>
      <c r="G242" s="137" t="s">
        <v>1163</v>
      </c>
      <c r="H242" s="96" t="s">
        <v>607</v>
      </c>
      <c r="I242" s="97" t="s">
        <v>609</v>
      </c>
      <c r="J242" s="97" t="s">
        <f>=_xlfn.TEXTJOIN("+",TRUE,_xlfn._xlws.FILTER(_xlfn.TEXTSPLIT(H242,,"+"),(_xlfn.TEXTSPLIT(H242,,"+")&lt;&gt;"埃米工具")*(_xlfn.TEXTSPLIT(H242,,"+")&lt;&gt;"埃米广告通")))</f>
        <v>607</v>
      </c>
      <c r="K242" s="109">
        <f>=EDATE(C242,D242)</f>
        <v>46464</v>
      </c>
      <c r="L242" s="109" t="s"/>
      <c r="M242" s="128" t="s"/>
      <c r="N242" s="96" t="s">
        <v>611</v>
      </c>
      <c r="O242" s="110" t="s">
        <v>1164</v>
      </c>
      <c r="P242" s="184" t="s"/>
      <c r="Q242" s="111" t="s"/>
      <c r="R242" s="105" t="s"/>
      <c r="S242" s="105" t="s"/>
      <c r="T242" s="97" t="s"/>
      <c r="U242" s="97" t="s"/>
      <c r="V242" s="97" t="s"/>
      <c r="W242" s="97" t="s"/>
      <c r="X242" s="97" t="s"/>
      <c r="Y242" s="97" t="s"/>
      <c r="Z242" s="109" t="s"/>
      <c r="AA242" s="97" t="s"/>
      <c r="AB242" s="97" t="s"/>
      <c r="AC242" s="97" t="s"/>
      <c r="AD242" s="97" t="s"/>
      <c r="AE242" s="97" t="s"/>
      <c r="AF242" s="97" t="s"/>
      <c r="AG242" s="97" t="s"/>
      <c r="AH242" s="97" t="s"/>
      <c r="AI242" s="97" t="s"/>
      <c r="AJ242" s="97" t="s"/>
      <c r="AK242" s="97" t="s"/>
      <c r="AL242" s="97" t="s"/>
      <c r="AM242" s="97" t="s"/>
    </row>
    <row r="243" spans="1:39" s="431" customFormat="true">
      <c r="A243" s="97">
        <v>242</v>
      </c>
      <c r="B243" s="137" t="s">
        <v>120</v>
      </c>
      <c r="C243" s="146">
        <v>46099.6734375</v>
      </c>
      <c r="D243" s="97">
        <v>12</v>
      </c>
      <c r="E243" s="120">
        <v>46099</v>
      </c>
      <c r="F243" s="97" t="s">
        <v>215</v>
      </c>
      <c r="G243" s="137" t="s">
        <v>1165</v>
      </c>
      <c r="H243" s="96" t="s">
        <v>12</v>
      </c>
      <c r="I243" s="97" t="s">
        <v>609</v>
      </c>
      <c r="J243" s="97" t="s">
        <f>=_xlfn.TEXTJOIN("+",TRUE,_xlfn._xlws.FILTER(_xlfn.TEXTSPLIT(H243,,"+"),(_xlfn.TEXTSPLIT(H243,,"+")&lt;&gt;"埃米工具")*(_xlfn.TEXTSPLIT(H243,,"+")&lt;&gt;"埃米广告通")))</f>
        <v>12</v>
      </c>
      <c r="K243" s="109">
        <f>=EDATE(C243,D243)</f>
        <v>46464</v>
      </c>
      <c r="L243" s="120">
        <v>46103</v>
      </c>
      <c r="M243" s="128" t="s">
        <v>1166</v>
      </c>
      <c r="N243" s="96" t="s">
        <v>611</v>
      </c>
      <c r="O243" s="126" t="s">
        <v>1167</v>
      </c>
      <c r="P243" s="110" t="s"/>
      <c r="Q243" s="111" t="s"/>
      <c r="R243" s="105" t="s"/>
      <c r="S243" s="105" t="s"/>
      <c r="T243" s="97" t="s"/>
      <c r="U243" s="97" t="s"/>
      <c r="V243" s="97" t="s"/>
      <c r="W243" s="97" t="s"/>
      <c r="X243" s="97" t="s"/>
      <c r="Y243" s="97" t="s"/>
      <c r="Z243" s="97" t="s"/>
      <c r="AA243" s="97" t="s"/>
      <c r="AB243" s="97" t="s"/>
      <c r="AC243" s="97" t="s"/>
      <c r="AD243" s="97" t="s"/>
      <c r="AE243" s="97" t="s"/>
      <c r="AF243" s="97" t="s"/>
      <c r="AG243" s="97" t="s"/>
      <c r="AH243" s="97" t="s"/>
      <c r="AI243" s="97" t="s"/>
      <c r="AJ243" s="97" t="s"/>
      <c r="AK243" s="97" t="s"/>
      <c r="AL243" s="97" t="s"/>
      <c r="AM243" s="97" t="s"/>
    </row>
    <row r="244" spans="1:39" s="431" customFormat="true">
      <c r="A244" s="97">
        <v>243</v>
      </c>
      <c r="B244" s="137" t="s">
        <v>327</v>
      </c>
      <c r="C244" s="146">
        <v>46099.6671643519</v>
      </c>
      <c r="D244" s="97">
        <v>12</v>
      </c>
      <c r="E244" s="120">
        <v>46099</v>
      </c>
      <c r="F244" s="97" t="s">
        <v>224</v>
      </c>
      <c r="G244" s="137" t="s">
        <v>1168</v>
      </c>
      <c r="H244" s="96" t="s">
        <v>607</v>
      </c>
      <c r="I244" s="97" t="s">
        <v>609</v>
      </c>
      <c r="J244" s="97" t="s">
        <f>=_xlfn.TEXTJOIN("+",TRUE,_xlfn._xlws.FILTER(_xlfn.TEXTSPLIT(H244,,"+"),(_xlfn.TEXTSPLIT(H244,,"+")&lt;&gt;"埃米工具")*(_xlfn.TEXTSPLIT(H244,,"+")&lt;&gt;"埃米广告通")))</f>
        <v>607</v>
      </c>
      <c r="K244" s="109">
        <f>=EDATE(C244,D244)</f>
        <v>46464</v>
      </c>
      <c r="L244" s="109" t="s"/>
      <c r="M244" s="128" t="s"/>
      <c r="N244" s="96" t="s">
        <v>611</v>
      </c>
      <c r="O244" s="110" t="s">
        <v>933</v>
      </c>
      <c r="P244" s="110" t="s"/>
      <c r="Q244" s="111" t="s"/>
      <c r="R244" s="105" t="s"/>
      <c r="S244" s="105" t="s"/>
      <c r="T244" s="97" t="s"/>
      <c r="U244" s="97" t="s"/>
      <c r="V244" s="97" t="s"/>
      <c r="W244" s="97" t="s"/>
      <c r="X244" s="97" t="s"/>
      <c r="Y244" s="97" t="s"/>
      <c r="Z244" s="97" t="s"/>
      <c r="AA244" s="97" t="s"/>
      <c r="AB244" s="97" t="s"/>
      <c r="AC244" s="97" t="s"/>
      <c r="AD244" s="97" t="s"/>
      <c r="AE244" s="97" t="s"/>
      <c r="AF244" s="97" t="s"/>
      <c r="AG244" s="97" t="s"/>
      <c r="AH244" s="97" t="s"/>
      <c r="AI244" s="97" t="s"/>
      <c r="AJ244" s="97" t="s"/>
      <c r="AK244" s="97" t="s"/>
      <c r="AL244" s="97" t="s"/>
      <c r="AM244" s="97" t="s"/>
    </row>
    <row r="245" spans="1:39" s="431" customFormat="true">
      <c r="A245" s="98">
        <v>244</v>
      </c>
      <c r="B245" s="166" t="s">
        <v>1169</v>
      </c>
      <c r="C245" s="162">
        <v>46099.7475231482</v>
      </c>
      <c r="D245" s="147">
        <v>12</v>
      </c>
      <c r="E245" s="120">
        <v>46100</v>
      </c>
      <c r="F245" s="97" t="s">
        <v>224</v>
      </c>
      <c r="G245" s="179" t="s">
        <v>1170</v>
      </c>
      <c r="H245" s="96" t="s">
        <v>607</v>
      </c>
      <c r="I245" s="97" t="s">
        <v>609</v>
      </c>
      <c r="J245" s="97" t="s">
        <f>=_xlfn.TEXTJOIN("+",TRUE,_xlfn._xlws.FILTER(_xlfn.TEXTSPLIT(H245,,"+"),(_xlfn.TEXTSPLIT(H245,,"+")&lt;&gt;"埃米工具")*(_xlfn.TEXTSPLIT(H245,,"+")&lt;&gt;"埃米广告通")))</f>
        <v>607</v>
      </c>
      <c r="K245" s="109">
        <f>=EDATE(C245,D245)</f>
        <v>46464</v>
      </c>
      <c r="L245" s="109" t="s"/>
      <c r="M245" s="128" t="s"/>
      <c r="N245" s="96" t="s">
        <v>611</v>
      </c>
      <c r="O245" s="152" t="s"/>
      <c r="P245" s="110" t="s">
        <v>1171</v>
      </c>
      <c r="Q245" s="111" t="s"/>
      <c r="R245" s="105" t="s"/>
      <c r="S245" s="105" t="s"/>
      <c r="T245" s="97" t="s"/>
      <c r="U245" s="97" t="s"/>
      <c r="V245" s="97" t="s"/>
      <c r="W245" s="97" t="s"/>
      <c r="X245" s="97" t="s"/>
      <c r="Y245" s="97" t="s"/>
      <c r="Z245" s="109" t="s"/>
      <c r="AA245" s="97" t="s"/>
      <c r="AB245" s="97" t="s"/>
      <c r="AC245" s="97" t="s"/>
      <c r="AD245" s="97" t="s"/>
      <c r="AE245" s="97" t="s"/>
      <c r="AF245" s="97" t="s"/>
      <c r="AG245" s="97" t="s"/>
      <c r="AH245" s="97" t="s"/>
      <c r="AI245" s="97" t="s"/>
      <c r="AJ245" s="97" t="s"/>
      <c r="AK245" s="97" t="s"/>
      <c r="AL245" s="97" t="s"/>
      <c r="AM245" s="97" t="s"/>
    </row>
    <row r="246" spans="1:39" s="431" customFormat="true">
      <c r="A246" s="97">
        <v>245</v>
      </c>
      <c r="B246" s="137" t="s">
        <v>1172</v>
      </c>
      <c r="C246" s="162">
        <v>46099.7598495371</v>
      </c>
      <c r="D246" s="147">
        <v>12</v>
      </c>
      <c r="E246" s="120">
        <v>46100</v>
      </c>
      <c r="F246" s="97" t="s">
        <v>228</v>
      </c>
      <c r="G246" s="179" t="s">
        <v>1173</v>
      </c>
      <c r="H246" s="96" t="s">
        <v>607</v>
      </c>
      <c r="I246" s="97" t="s">
        <v>609</v>
      </c>
      <c r="J246" s="97" t="s">
        <f>=_xlfn.TEXTJOIN("+",TRUE,_xlfn._xlws.FILTER(_xlfn.TEXTSPLIT(H246,,"+"),(_xlfn.TEXTSPLIT(H246,,"+")&lt;&gt;"埃米工具")*(_xlfn.TEXTSPLIT(H246,,"+")&lt;&gt;"埃米广告通")))</f>
        <v>607</v>
      </c>
      <c r="K246" s="109">
        <f>=EDATE(C246,D246)</f>
        <v>46464</v>
      </c>
      <c r="L246" s="109" t="s"/>
      <c r="M246" s="128" t="s"/>
      <c r="N246" s="96" t="s">
        <v>611</v>
      </c>
      <c r="O246" s="110" t="s">
        <v>1133</v>
      </c>
      <c r="P246" s="184" t="s"/>
      <c r="Q246" s="111" t="s"/>
      <c r="R246" s="105" t="s"/>
      <c r="S246" s="105" t="s"/>
      <c r="T246" s="97" t="s"/>
      <c r="U246" s="97" t="s"/>
      <c r="V246" s="97" t="s"/>
      <c r="W246" s="97" t="s"/>
      <c r="X246" s="97" t="s"/>
      <c r="Y246" s="97" t="s"/>
      <c r="Z246" s="97" t="s"/>
      <c r="AA246" s="97" t="s"/>
      <c r="AB246" s="97" t="s"/>
      <c r="AC246" s="97" t="s"/>
      <c r="AD246" s="97" t="s"/>
      <c r="AE246" s="97" t="s"/>
      <c r="AF246" s="97" t="s"/>
      <c r="AG246" s="97" t="s"/>
      <c r="AH246" s="97" t="s"/>
      <c r="AI246" s="97" t="s"/>
      <c r="AJ246" s="97" t="s"/>
      <c r="AK246" s="97" t="s"/>
      <c r="AL246" s="97" t="s"/>
      <c r="AM246" s="97" t="s"/>
    </row>
    <row r="247" spans="1:39" s="431" customFormat="true">
      <c r="A247" s="97">
        <v>246</v>
      </c>
      <c r="B247" s="166" t="s">
        <v>302</v>
      </c>
      <c r="C247" s="146">
        <v>46099.8335648148</v>
      </c>
      <c r="D247" s="147">
        <v>12</v>
      </c>
      <c r="E247" s="120">
        <v>46100</v>
      </c>
      <c r="F247" s="97" t="s">
        <v>228</v>
      </c>
      <c r="G247" s="179" t="s">
        <v>1174</v>
      </c>
      <c r="H247" s="96" t="s">
        <v>607</v>
      </c>
      <c r="I247" s="97" t="s">
        <v>609</v>
      </c>
      <c r="J247" s="97" t="s">
        <f>=_xlfn.TEXTJOIN("+",TRUE,_xlfn._xlws.FILTER(_xlfn.TEXTSPLIT(H247,,"+"),(_xlfn.TEXTSPLIT(H247,,"+")&lt;&gt;"埃米工具")*(_xlfn.TEXTSPLIT(H247,,"+")&lt;&gt;"埃米广告通")))</f>
        <v>607</v>
      </c>
      <c r="K247" s="109">
        <f>=EDATE(C247,D247)</f>
        <v>46464</v>
      </c>
      <c r="L247" s="109" t="s"/>
      <c r="M247" s="128" t="s"/>
      <c r="N247" s="96" t="s">
        <v>611</v>
      </c>
      <c r="O247" s="110" t="s">
        <v>1133</v>
      </c>
      <c r="P247" s="184" t="s"/>
      <c r="Q247" s="111" t="s"/>
      <c r="R247" s="105" t="s"/>
      <c r="S247" s="105" t="s"/>
      <c r="T247" s="97" t="s"/>
      <c r="U247" s="97" t="s"/>
      <c r="V247" s="97" t="s"/>
      <c r="W247" s="97" t="s"/>
      <c r="X247" s="97" t="s"/>
      <c r="Y247" s="97" t="s"/>
      <c r="Z247" s="97" t="s"/>
      <c r="AA247" s="97" t="s"/>
      <c r="AB247" s="97" t="s"/>
      <c r="AC247" s="97" t="s"/>
      <c r="AD247" s="97" t="s"/>
      <c r="AE247" s="97" t="s"/>
      <c r="AF247" s="97" t="s"/>
      <c r="AG247" s="97" t="s"/>
      <c r="AH247" s="97" t="s"/>
      <c r="AI247" s="97" t="s"/>
      <c r="AJ247" s="97" t="s"/>
      <c r="AK247" s="97" t="s"/>
      <c r="AL247" s="97" t="s"/>
      <c r="AM247" s="97" t="s"/>
    </row>
    <row r="248" spans="1:39" s="431" customFormat="true">
      <c r="A248" s="97">
        <v>247</v>
      </c>
      <c r="B248" s="166" t="s">
        <v>1175</v>
      </c>
      <c r="C248" s="146">
        <v>46100.4756365741</v>
      </c>
      <c r="D248" s="147">
        <v>12</v>
      </c>
      <c r="E248" s="120">
        <v>46100</v>
      </c>
      <c r="F248" s="97" t="s">
        <v>228</v>
      </c>
      <c r="G248" s="179" t="s">
        <v>1176</v>
      </c>
      <c r="H248" s="96" t="s">
        <v>607</v>
      </c>
      <c r="I248" s="97" t="s">
        <v>646</v>
      </c>
      <c r="J248" s="97" t="s">
        <f>=_xlfn.TEXTJOIN("+",TRUE,_xlfn._xlws.FILTER(_xlfn.TEXTSPLIT(H248,,"+"),(_xlfn.TEXTSPLIT(H248,,"+")&lt;&gt;"埃米工具")*(_xlfn.TEXTSPLIT(H248,,"+")&lt;&gt;"埃米广告通")))</f>
        <v>607</v>
      </c>
      <c r="K248" s="109">
        <f>=EDATE(C248,D248)</f>
        <v>46465</v>
      </c>
      <c r="L248" s="109" t="s"/>
      <c r="M248" s="128" t="s"/>
      <c r="N248" s="96" t="s">
        <v>611</v>
      </c>
      <c r="O248" s="110" t="s">
        <v>1177</v>
      </c>
      <c r="P248" s="184" t="s"/>
      <c r="Q248" s="111" t="s"/>
      <c r="R248" s="105" t="s"/>
      <c r="S248" s="105" t="s"/>
      <c r="T248" s="97" t="s"/>
      <c r="U248" s="97" t="s"/>
      <c r="V248" s="97" t="s"/>
      <c r="W248" s="97" t="s"/>
      <c r="X248" s="97" t="s"/>
      <c r="Y248" s="97" t="s"/>
      <c r="Z248" s="97" t="s"/>
      <c r="AA248" s="97" t="s"/>
      <c r="AB248" s="97" t="s"/>
      <c r="AC248" s="97" t="s"/>
      <c r="AD248" s="97" t="s"/>
      <c r="AE248" s="97" t="s"/>
      <c r="AF248" s="97" t="s"/>
      <c r="AG248" s="97" t="s"/>
      <c r="AH248" s="97" t="s"/>
      <c r="AI248" s="97" t="s"/>
      <c r="AJ248" s="97" t="s"/>
      <c r="AK248" s="97" t="s"/>
      <c r="AL248" s="97" t="s"/>
      <c r="AM248" s="97" t="s"/>
    </row>
    <row r="249" spans="1:39" s="431" customFormat="true">
      <c r="A249" s="97">
        <v>248</v>
      </c>
      <c r="B249" s="166" t="s">
        <v>121</v>
      </c>
      <c r="C249" s="162">
        <v>46100.6390509259</v>
      </c>
      <c r="D249" s="147">
        <v>12</v>
      </c>
      <c r="E249" s="120">
        <v>46100</v>
      </c>
      <c r="F249" s="97" t="s">
        <v>236</v>
      </c>
      <c r="G249" s="179" t="s">
        <v>1178</v>
      </c>
      <c r="H249" s="96" t="s">
        <v>12</v>
      </c>
      <c r="I249" s="97" t="s">
        <v>609</v>
      </c>
      <c r="J249" s="97" t="s">
        <f>=_xlfn.TEXTJOIN("+",TRUE,_xlfn._xlws.FILTER(_xlfn.TEXTSPLIT(H249,,"+"),(_xlfn.TEXTSPLIT(H249,,"+")&lt;&gt;"埃米工具")*(_xlfn.TEXTSPLIT(H249,,"+")&lt;&gt;"埃米广告通")))</f>
        <v>12</v>
      </c>
      <c r="K249" s="109">
        <f>=EDATE(C249,D249)</f>
        <v>46465</v>
      </c>
      <c r="L249" s="120">
        <v>46101</v>
      </c>
      <c r="M249" s="97" t="s">
        <v>1179</v>
      </c>
      <c r="N249" s="96" t="s">
        <v>611</v>
      </c>
      <c r="O249" s="110" t="s">
        <v>1133</v>
      </c>
      <c r="P249" s="110" t="s"/>
      <c r="Q249" s="111" t="s"/>
      <c r="R249" s="105" t="s"/>
      <c r="S249" s="105" t="s"/>
      <c r="T249" s="97" t="s"/>
      <c r="U249" s="97" t="s"/>
      <c r="V249" s="97" t="s"/>
      <c r="W249" s="97" t="s"/>
      <c r="X249" s="97" t="s"/>
      <c r="Y249" s="97" t="s"/>
      <c r="Z249" s="97" t="s"/>
      <c r="AA249" s="97" t="s"/>
      <c r="AB249" s="97" t="s"/>
      <c r="AC249" s="97" t="s"/>
      <c r="AD249" s="97" t="s"/>
      <c r="AE249" s="97" t="s"/>
      <c r="AF249" s="97" t="s"/>
      <c r="AG249" s="97" t="s"/>
      <c r="AH249" s="97" t="s"/>
      <c r="AI249" s="97" t="s"/>
      <c r="AJ249" s="97" t="s"/>
      <c r="AK249" s="97" t="s"/>
      <c r="AL249" s="97" t="s"/>
      <c r="AM249" s="97" t="s"/>
    </row>
    <row r="250" spans="1:39" s="431" customFormat="true">
      <c r="A250" s="97">
        <v>249</v>
      </c>
      <c r="B250" s="166" t="s">
        <v>330</v>
      </c>
      <c r="C250" s="162">
        <v>46100.6320949074</v>
      </c>
      <c r="D250" s="147">
        <v>12</v>
      </c>
      <c r="E250" s="120">
        <v>46100</v>
      </c>
      <c r="F250" s="97" t="s">
        <v>228</v>
      </c>
      <c r="G250" s="168" t="s">
        <v>1180</v>
      </c>
      <c r="H250" s="96" t="s">
        <v>607</v>
      </c>
      <c r="I250" s="166" t="s">
        <v>609</v>
      </c>
      <c r="J250" s="97" t="s">
        <f>=_xlfn.TEXTJOIN("+",TRUE,_xlfn._xlws.FILTER(_xlfn.TEXTSPLIT(H250,,"+"),(_xlfn.TEXTSPLIT(H250,,"+")&lt;&gt;"埃米工具")*(_xlfn.TEXTSPLIT(H250,,"+")&lt;&gt;"埃米广告通")))</f>
        <v>607</v>
      </c>
      <c r="K250" s="109">
        <f>=EDATE(C250,D250)</f>
        <v>46465</v>
      </c>
      <c r="L250" s="109" t="s"/>
      <c r="M250" s="128" t="s"/>
      <c r="N250" s="96" t="s">
        <v>611</v>
      </c>
      <c r="O250" s="110" t="s">
        <v>1133</v>
      </c>
      <c r="P250" s="184" t="s"/>
      <c r="Q250" s="111" t="s"/>
      <c r="R250" s="105" t="s"/>
      <c r="S250" s="105" t="s"/>
      <c r="T250" s="97" t="s"/>
      <c r="U250" s="97" t="s"/>
      <c r="V250" s="97" t="s"/>
      <c r="W250" s="97" t="s"/>
      <c r="X250" s="97" t="s"/>
      <c r="Y250" s="97" t="s"/>
      <c r="Z250" s="97" t="s"/>
      <c r="AA250" s="97" t="s"/>
      <c r="AB250" s="97" t="s"/>
      <c r="AC250" s="97" t="s"/>
      <c r="AD250" s="97" t="s"/>
      <c r="AE250" s="97" t="s"/>
      <c r="AF250" s="97" t="s"/>
      <c r="AG250" s="97" t="s"/>
      <c r="AH250" s="97" t="s"/>
      <c r="AI250" s="97" t="s"/>
      <c r="AJ250" s="97" t="s"/>
      <c r="AK250" s="97" t="s"/>
      <c r="AL250" s="97" t="s"/>
      <c r="AM250" s="97" t="s"/>
    </row>
    <row r="251" spans="1:39" s="431" customFormat="true">
      <c r="A251" s="97">
        <v>250</v>
      </c>
      <c r="B251" s="166" t="s">
        <v>1181</v>
      </c>
      <c r="C251" s="162">
        <v>46100.7259606482</v>
      </c>
      <c r="D251" s="167">
        <v>24</v>
      </c>
      <c r="E251" s="120">
        <v>46100</v>
      </c>
      <c r="F251" s="168" t="s">
        <v>234</v>
      </c>
      <c r="G251" s="168" t="s">
        <v>1182</v>
      </c>
      <c r="H251" s="96" t="s">
        <v>607</v>
      </c>
      <c r="I251" s="166" t="s">
        <v>609</v>
      </c>
      <c r="J251" s="97" t="s">
        <f>=_xlfn.TEXTJOIN("+",TRUE,_xlfn._xlws.FILTER(_xlfn.TEXTSPLIT(H251,,"+"),(_xlfn.TEXTSPLIT(H251,,"+")&lt;&gt;"埃米工具")*(_xlfn.TEXTSPLIT(H251,,"+")&lt;&gt;"埃米广告通")))</f>
        <v>607</v>
      </c>
      <c r="K251" s="109">
        <f>=EDATE(C251,D251)</f>
        <v>46831</v>
      </c>
      <c r="L251" s="168" t="s"/>
      <c r="M251" s="128" t="s"/>
      <c r="N251" s="96" t="s">
        <v>611</v>
      </c>
      <c r="O251" s="110" t="s">
        <v>1133</v>
      </c>
      <c r="P251" s="168" t="s"/>
      <c r="Q251" s="171" t="s"/>
      <c r="R251" s="172" t="s"/>
      <c r="S251" s="172" t="s"/>
      <c r="T251" s="168" t="s"/>
      <c r="U251" s="168" t="s"/>
      <c r="V251" s="168" t="s"/>
      <c r="W251" s="168" t="s"/>
      <c r="X251" s="168" t="s"/>
      <c r="Y251" s="168" t="s"/>
      <c r="Z251" s="97" t="s"/>
      <c r="AA251" s="97" t="s"/>
      <c r="AB251" s="97" t="s"/>
      <c r="AC251" s="97" t="s"/>
      <c r="AD251" s="97" t="s"/>
      <c r="AE251" s="97" t="s"/>
      <c r="AF251" s="97" t="s"/>
      <c r="AG251" s="97" t="s"/>
      <c r="AH251" s="97" t="s"/>
      <c r="AI251" s="97" t="s"/>
      <c r="AJ251" s="97" t="s"/>
      <c r="AK251" s="97" t="s"/>
      <c r="AL251" s="97" t="s"/>
      <c r="AM251" s="97" t="s"/>
    </row>
    <row r="252" spans="1:39" s="431" customFormat="true">
      <c r="A252" s="97">
        <v>251</v>
      </c>
      <c r="B252" s="166" t="s">
        <v>122</v>
      </c>
      <c r="C252" s="162">
        <v>46100.6724421296</v>
      </c>
      <c r="D252" s="167">
        <v>12</v>
      </c>
      <c r="E252" s="120">
        <v>46100</v>
      </c>
      <c r="F252" s="168" t="s">
        <v>228</v>
      </c>
      <c r="G252" s="168" t="s">
        <v>1183</v>
      </c>
      <c r="H252" s="96" t="s">
        <v>12</v>
      </c>
      <c r="I252" s="166" t="s">
        <v>609</v>
      </c>
      <c r="J252" s="97" t="s">
        <f>=_xlfn.TEXTJOIN("+",TRUE,_xlfn._xlws.FILTER(_xlfn.TEXTSPLIT(H252,,"+"),(_xlfn.TEXTSPLIT(H252,,"+")&lt;&gt;"埃米工具")*(_xlfn.TEXTSPLIT(H252,,"+")&lt;&gt;"埃米广告通")))</f>
        <v>12</v>
      </c>
      <c r="K252" s="109">
        <f>=EDATE(C252,D252)</f>
        <v>46465</v>
      </c>
      <c r="L252" s="191">
        <v>46108</v>
      </c>
      <c r="M252" s="175" t="s">
        <v>953</v>
      </c>
      <c r="N252" s="96" t="s">
        <v>611</v>
      </c>
      <c r="O252" s="168" t="s">
        <v>1184</v>
      </c>
      <c r="P252" s="168" t="s"/>
      <c r="Q252" s="171" t="s"/>
      <c r="R252" s="172" t="s"/>
      <c r="S252" s="172" t="s"/>
      <c r="T252" s="168" t="s"/>
      <c r="U252" s="168" t="s"/>
      <c r="V252" s="168" t="s"/>
      <c r="W252" s="168" t="s"/>
      <c r="X252" s="168" t="s"/>
      <c r="Y252" s="168" t="s"/>
      <c r="Z252" s="97" t="s"/>
      <c r="AA252" s="97" t="s"/>
      <c r="AB252" s="97" t="s"/>
      <c r="AC252" s="97" t="s"/>
      <c r="AD252" s="97" t="s"/>
      <c r="AE252" s="97" t="s"/>
      <c r="AF252" s="97" t="s"/>
      <c r="AG252" s="97" t="s"/>
      <c r="AH252" s="97" t="s"/>
      <c r="AI252" s="97" t="s"/>
      <c r="AJ252" s="97" t="s"/>
      <c r="AK252" s="97" t="s"/>
      <c r="AL252" s="97" t="s"/>
      <c r="AM252" s="97" t="s"/>
    </row>
    <row r="253" spans="1:39" s="431" customFormat="true">
      <c r="A253" s="97">
        <v>252</v>
      </c>
      <c r="B253" s="186" t="s">
        <v>123</v>
      </c>
      <c r="C253" s="162">
        <v>46100.7069444445</v>
      </c>
      <c r="D253" s="167">
        <v>12</v>
      </c>
      <c r="E253" s="120">
        <v>46100</v>
      </c>
      <c r="F253" s="168" t="s">
        <v>224</v>
      </c>
      <c r="G253" s="168" t="s">
        <v>1185</v>
      </c>
      <c r="H253" s="96" t="s">
        <v>606</v>
      </c>
      <c r="I253" s="166" t="s">
        <v>609</v>
      </c>
      <c r="J253" s="97" t="s">
        <f>=_xlfn.TEXTJOIN("+",TRUE,_xlfn._xlws.FILTER(_xlfn.TEXTSPLIT(H253,,"+"),(_xlfn.TEXTSPLIT(H253,,"+")&lt;&gt;"埃米工具")*(_xlfn.TEXTSPLIT(H253,,"+")&lt;&gt;"埃米广告通")))</f>
        <v>15</v>
      </c>
      <c r="K253" s="109">
        <f>=EDATE(C253,D253)</f>
        <v>46465</v>
      </c>
      <c r="L253" s="192">
        <v>46101</v>
      </c>
      <c r="M253" s="168" t="s">
        <v>953</v>
      </c>
      <c r="N253" s="96" t="s">
        <v>611</v>
      </c>
      <c r="O253" s="168" t="s"/>
      <c r="P253" s="168" t="s"/>
      <c r="Q253" s="171" t="s"/>
      <c r="R253" s="172" t="s"/>
      <c r="S253" s="172" t="s"/>
      <c r="T253" s="168" t="s"/>
      <c r="U253" s="168" t="s"/>
      <c r="V253" s="168" t="s"/>
      <c r="W253" s="168" t="s"/>
      <c r="X253" s="168" t="s"/>
      <c r="Y253" s="168" t="s"/>
      <c r="Z253" s="109" t="s"/>
      <c r="AA253" s="97" t="s"/>
      <c r="AB253" s="97" t="s"/>
      <c r="AC253" s="97" t="s"/>
      <c r="AD253" s="97" t="s"/>
      <c r="AE253" s="97" t="s"/>
      <c r="AF253" s="97" t="s"/>
      <c r="AG253" s="97" t="s"/>
      <c r="AH253" s="97" t="s"/>
      <c r="AI253" s="97" t="s"/>
      <c r="AJ253" s="97" t="s"/>
      <c r="AK253" s="97" t="s"/>
      <c r="AL253" s="97" t="s"/>
      <c r="AM253" s="97" t="s"/>
    </row>
    <row r="254" spans="1:39" s="431" customFormat="true">
      <c r="A254" s="97">
        <v>253</v>
      </c>
      <c r="B254" s="166" t="s">
        <v>1186</v>
      </c>
      <c r="C254" s="162">
        <v>46101.4120138889</v>
      </c>
      <c r="D254" s="167">
        <v>12</v>
      </c>
      <c r="E254" s="120">
        <v>46101</v>
      </c>
      <c r="F254" s="168" t="s">
        <v>224</v>
      </c>
      <c r="G254" s="168" t="s">
        <v>1187</v>
      </c>
      <c r="H254" s="96" t="s">
        <v>607</v>
      </c>
      <c r="I254" s="166" t="s">
        <v>609</v>
      </c>
      <c r="J254" s="97" t="s">
        <f>=_xlfn.TEXTJOIN("+",TRUE,_xlfn._xlws.FILTER(_xlfn.TEXTSPLIT(H254,,"+"),(_xlfn.TEXTSPLIT(H254,,"+")&lt;&gt;"埃米工具")*(_xlfn.TEXTSPLIT(H254,,"+")&lt;&gt;"埃米广告通")))</f>
        <v>607</v>
      </c>
      <c r="K254" s="109">
        <f>=EDATE(C254,D254)</f>
        <v>46466</v>
      </c>
      <c r="L254" s="168" t="s"/>
      <c r="M254" s="128" t="s"/>
      <c r="N254" s="96" t="s">
        <v>611</v>
      </c>
      <c r="O254" s="168" t="s"/>
      <c r="P254" s="170" t="s">
        <v>1188</v>
      </c>
      <c r="Q254" s="171" t="s"/>
      <c r="R254" s="172" t="s"/>
      <c r="S254" s="172" t="s"/>
      <c r="T254" s="168" t="s"/>
      <c r="U254" s="168" t="s"/>
      <c r="V254" s="168" t="s"/>
      <c r="W254" s="168" t="s"/>
      <c r="X254" s="168" t="s"/>
      <c r="Y254" s="168" t="s"/>
      <c r="Z254" s="109" t="s"/>
      <c r="AA254" s="97" t="s"/>
      <c r="AB254" s="97" t="s"/>
      <c r="AC254" s="97" t="s"/>
      <c r="AD254" s="97" t="s"/>
      <c r="AE254" s="97" t="s"/>
      <c r="AF254" s="97" t="s"/>
      <c r="AG254" s="97" t="s"/>
      <c r="AH254" s="97" t="s"/>
      <c r="AI254" s="97" t="s"/>
      <c r="AJ254" s="97" t="s"/>
      <c r="AK254" s="97" t="s"/>
      <c r="AL254" s="97" t="s"/>
      <c r="AM254" s="97" t="s"/>
    </row>
    <row r="255" spans="1:39" s="431" customFormat="true">
      <c r="A255" s="97">
        <v>254</v>
      </c>
      <c r="B255" s="166" t="s">
        <v>1189</v>
      </c>
      <c r="C255" s="162">
        <v>46101.4076388889</v>
      </c>
      <c r="D255" s="167">
        <v>12</v>
      </c>
      <c r="E255" s="120">
        <v>46101</v>
      </c>
      <c r="F255" s="168" t="s">
        <v>215</v>
      </c>
      <c r="G255" s="168" t="s">
        <v>1190</v>
      </c>
      <c r="H255" s="96" t="s">
        <v>607</v>
      </c>
      <c r="I255" s="166" t="s">
        <v>609</v>
      </c>
      <c r="J255" s="97" t="s">
        <f>=_xlfn.TEXTJOIN("+",TRUE,_xlfn._xlws.FILTER(_xlfn.TEXTSPLIT(H255,,"+"),(_xlfn.TEXTSPLIT(H255,,"+")&lt;&gt;"埃米工具")*(_xlfn.TEXTSPLIT(H255,,"+")&lt;&gt;"埃米广告通")))</f>
        <v>607</v>
      </c>
      <c r="K255" s="109">
        <f>=EDATE(C255,D255)</f>
        <v>46466</v>
      </c>
      <c r="L255" s="168" t="s"/>
      <c r="M255" s="128" t="s"/>
      <c r="N255" s="96" t="s">
        <v>611</v>
      </c>
      <c r="O255" s="155" t="s">
        <v>1191</v>
      </c>
      <c r="P255" s="168" t="s"/>
      <c r="Q255" s="171" t="s"/>
      <c r="R255" s="172" t="s"/>
      <c r="S255" s="172" t="s"/>
      <c r="T255" s="168" t="s"/>
      <c r="U255" s="168" t="s"/>
      <c r="V255" s="168" t="s"/>
      <c r="W255" s="168" t="s"/>
      <c r="X255" s="168" t="s"/>
      <c r="Y255" s="168" t="s"/>
      <c r="Z255" s="97" t="s"/>
      <c r="AA255" s="97" t="s"/>
      <c r="AB255" s="97" t="s"/>
      <c r="AC255" s="97" t="s"/>
      <c r="AD255" s="97" t="s"/>
      <c r="AE255" s="97" t="s"/>
      <c r="AF255" s="97" t="s"/>
      <c r="AG255" s="97" t="s"/>
      <c r="AH255" s="97" t="s"/>
      <c r="AI255" s="97" t="s"/>
      <c r="AJ255" s="97" t="s"/>
      <c r="AK255" s="97" t="s"/>
      <c r="AL255" s="97" t="s"/>
      <c r="AM255" s="97" t="s"/>
    </row>
    <row r="256" spans="1:39" s="431" customFormat="true">
      <c r="A256" s="97">
        <v>255</v>
      </c>
      <c r="B256" s="166" t="s">
        <v>1189</v>
      </c>
      <c r="C256" s="162">
        <v>46101.4060300926</v>
      </c>
      <c r="D256" s="167">
        <v>12</v>
      </c>
      <c r="E256" s="120">
        <v>46101</v>
      </c>
      <c r="F256" s="168" t="s">
        <v>215</v>
      </c>
      <c r="G256" s="168" t="s">
        <v>1192</v>
      </c>
      <c r="H256" s="96" t="s">
        <v>607</v>
      </c>
      <c r="I256" s="166" t="s">
        <v>609</v>
      </c>
      <c r="J256" s="97" t="s">
        <f>=_xlfn.TEXTJOIN("+",TRUE,_xlfn._xlws.FILTER(_xlfn.TEXTSPLIT(H256,,"+"),(_xlfn.TEXTSPLIT(H256,,"+")&lt;&gt;"埃米工具")*(_xlfn.TEXTSPLIT(H256,,"+")&lt;&gt;"埃米广告通")))</f>
        <v>607</v>
      </c>
      <c r="K256" s="109">
        <f>=EDATE(C256,D256)</f>
        <v>46466</v>
      </c>
      <c r="L256" s="168" t="s"/>
      <c r="M256" s="128" t="s"/>
      <c r="N256" s="96" t="s">
        <v>611</v>
      </c>
      <c r="O256" s="155" t="s">
        <v>1191</v>
      </c>
      <c r="P256" s="168" t="s"/>
      <c r="Q256" s="171" t="s"/>
      <c r="R256" s="172" t="s"/>
      <c r="S256" s="172" t="s"/>
      <c r="T256" s="168" t="s"/>
      <c r="U256" s="168" t="s"/>
      <c r="V256" s="168" t="s"/>
      <c r="W256" s="168" t="s"/>
      <c r="X256" s="168" t="s"/>
      <c r="Y256" s="168" t="s"/>
      <c r="Z256" s="97" t="s"/>
      <c r="AA256" s="97" t="s"/>
      <c r="AB256" s="97" t="s"/>
      <c r="AC256" s="97" t="s"/>
      <c r="AD256" s="97" t="s"/>
      <c r="AE256" s="97" t="s"/>
      <c r="AF256" s="97" t="s"/>
      <c r="AG256" s="97" t="s"/>
      <c r="AH256" s="97" t="s"/>
      <c r="AI256" s="97" t="s"/>
      <c r="AJ256" s="97" t="s"/>
      <c r="AK256" s="97" t="s"/>
      <c r="AL256" s="97" t="s"/>
      <c r="AM256" s="97" t="s"/>
    </row>
    <row r="257" spans="1:39" s="429" customFormat="true">
      <c r="A257" s="97">
        <v>256</v>
      </c>
      <c r="B257" s="165" t="s">
        <v>333</v>
      </c>
      <c r="C257" s="173">
        <v>46101.4744212962</v>
      </c>
      <c r="D257" s="167">
        <v>12</v>
      </c>
      <c r="E257" s="118">
        <v>46101</v>
      </c>
      <c r="F257" s="168" t="s">
        <v>236</v>
      </c>
      <c r="G257" s="168" t="s">
        <v>1193</v>
      </c>
      <c r="H257" s="96" t="s">
        <v>607</v>
      </c>
      <c r="I257" s="166" t="s">
        <v>609</v>
      </c>
      <c r="J257" s="97" t="s">
        <f>=_xlfn.TEXTJOIN("+",TRUE,_xlfn._xlws.FILTER(_xlfn.TEXTSPLIT(H257,,"+"),(_xlfn.TEXTSPLIT(H257,,"+")&lt;&gt;"埃米工具")*(_xlfn.TEXTSPLIT(H257,,"+")&lt;&gt;"埃米广告通")))</f>
        <v>607</v>
      </c>
      <c r="K257" s="109">
        <f>=EDATE(C257,D257)</f>
        <v>46466</v>
      </c>
      <c r="L257" s="168" t="s"/>
      <c r="M257" s="128" t="s"/>
      <c r="N257" s="96" t="s">
        <v>611</v>
      </c>
      <c r="O257" s="168" t="s">
        <v>1194</v>
      </c>
      <c r="P257" s="168" t="s"/>
      <c r="Q257" s="171" t="s"/>
      <c r="R257" s="172" t="s"/>
      <c r="S257" s="172" t="s"/>
      <c r="T257" s="168" t="s"/>
      <c r="U257" s="168" t="s"/>
      <c r="V257" s="168" t="s"/>
      <c r="W257" s="168" t="s"/>
      <c r="X257" s="168" t="s"/>
      <c r="Y257" s="168" t="s"/>
      <c r="Z257" s="109" t="s"/>
      <c r="AA257" s="97" t="s"/>
      <c r="AB257" s="97" t="s"/>
      <c r="AC257" s="97" t="s"/>
      <c r="AD257" s="97" t="s"/>
      <c r="AE257" s="97" t="s"/>
      <c r="AF257" s="97" t="s"/>
      <c r="AG257" s="97" t="s"/>
      <c r="AH257" s="97" t="s"/>
      <c r="AI257" s="97" t="s"/>
      <c r="AJ257" s="97" t="s"/>
      <c r="AK257" s="97" t="s"/>
      <c r="AL257" s="97" t="s"/>
      <c r="AM257" s="97" t="s"/>
    </row>
    <row r="258" spans="1:39" s="429" customFormat="true">
      <c r="A258" s="97">
        <v>257</v>
      </c>
      <c r="B258" s="166" t="s">
        <v>1195</v>
      </c>
      <c r="C258" s="162">
        <v>46101.5522685185</v>
      </c>
      <c r="D258" s="167">
        <v>12</v>
      </c>
      <c r="E258" s="118">
        <v>46101</v>
      </c>
      <c r="F258" s="168" t="s">
        <v>234</v>
      </c>
      <c r="G258" s="168" t="s">
        <v>1196</v>
      </c>
      <c r="H258" s="96" t="s">
        <v>607</v>
      </c>
      <c r="I258" s="166" t="s">
        <v>609</v>
      </c>
      <c r="J258" s="97" t="s">
        <f>=_xlfn.TEXTJOIN("+",TRUE,_xlfn._xlws.FILTER(_xlfn.TEXTSPLIT(H258,,"+"),(_xlfn.TEXTSPLIT(H258,,"+")&lt;&gt;"埃米工具")*(_xlfn.TEXTSPLIT(H258,,"+")&lt;&gt;"埃米广告通")))</f>
        <v>607</v>
      </c>
      <c r="K258" s="109">
        <f>=EDATE(C258,D258)</f>
        <v>46466</v>
      </c>
      <c r="L258" s="168" t="s"/>
      <c r="M258" s="128" t="s"/>
      <c r="N258" s="96" t="s">
        <v>611</v>
      </c>
      <c r="O258" s="168" t="s">
        <v>1128</v>
      </c>
      <c r="P258" s="168" t="s"/>
      <c r="Q258" s="171" t="s"/>
      <c r="R258" s="172" t="s"/>
      <c r="S258" s="172" t="s"/>
      <c r="T258" s="168" t="s"/>
      <c r="U258" s="168" t="s"/>
      <c r="V258" s="168" t="s"/>
      <c r="W258" s="168" t="s"/>
      <c r="X258" s="168" t="s"/>
      <c r="Y258" s="168" t="s"/>
      <c r="Z258" s="97" t="s"/>
      <c r="AA258" s="97" t="s"/>
      <c r="AB258" s="97" t="s"/>
      <c r="AC258" s="97" t="s"/>
      <c r="AD258" s="97" t="s"/>
      <c r="AE258" s="97" t="s"/>
      <c r="AF258" s="97" t="s"/>
      <c r="AG258" s="97" t="s"/>
      <c r="AH258" s="97" t="s"/>
      <c r="AI258" s="97" t="s"/>
      <c r="AJ258" s="97" t="s"/>
      <c r="AK258" s="97" t="s"/>
      <c r="AL258" s="97" t="s"/>
      <c r="AM258" s="97" t="s"/>
    </row>
    <row r="259" spans="1:39" s="431" customFormat="true">
      <c r="A259" s="97">
        <v>258</v>
      </c>
      <c r="B259" s="166" t="s">
        <v>348</v>
      </c>
      <c r="C259" s="162">
        <v>46101.6362847222</v>
      </c>
      <c r="D259" s="167">
        <v>12</v>
      </c>
      <c r="E259" s="120">
        <v>46101</v>
      </c>
      <c r="F259" s="168" t="s">
        <v>228</v>
      </c>
      <c r="G259" s="168" t="s">
        <v>1197</v>
      </c>
      <c r="H259" s="96" t="s">
        <v>607</v>
      </c>
      <c r="I259" s="166" t="s">
        <v>609</v>
      </c>
      <c r="J259" s="97" t="s">
        <f>=_xlfn.TEXTJOIN("+",TRUE,_xlfn._xlws.FILTER(_xlfn.TEXTSPLIT(H259,,"+"),(_xlfn.TEXTSPLIT(H259,,"+")&lt;&gt;"埃米工具")*(_xlfn.TEXTSPLIT(H259,,"+")&lt;&gt;"埃米广告通")))</f>
        <v>607</v>
      </c>
      <c r="K259" s="109">
        <f>=EDATE(C259,D259)</f>
        <v>46466</v>
      </c>
      <c r="L259" s="168" t="s"/>
      <c r="M259" s="128" t="s"/>
      <c r="N259" s="96" t="s">
        <v>611</v>
      </c>
      <c r="O259" s="168" t="s">
        <v>1128</v>
      </c>
      <c r="P259" s="168" t="s"/>
      <c r="Q259" s="171" t="s"/>
      <c r="R259" s="172" t="s"/>
      <c r="S259" s="172" t="s"/>
      <c r="T259" s="168" t="s"/>
      <c r="U259" s="168" t="s"/>
      <c r="V259" s="168" t="s"/>
      <c r="W259" s="168" t="s"/>
      <c r="X259" s="168" t="s"/>
      <c r="Y259" s="168" t="s"/>
      <c r="Z259" s="97" t="s"/>
      <c r="AA259" s="97" t="s"/>
      <c r="AB259" s="97" t="s"/>
      <c r="AC259" s="97" t="s"/>
      <c r="AD259" s="97" t="s"/>
      <c r="AE259" s="97" t="s"/>
      <c r="AF259" s="97" t="s"/>
      <c r="AG259" s="97" t="s"/>
      <c r="AH259" s="97" t="s"/>
      <c r="AI259" s="97" t="s"/>
      <c r="AJ259" s="97" t="s"/>
      <c r="AK259" s="97" t="s"/>
      <c r="AL259" s="97" t="s"/>
      <c r="AM259" s="97" t="s"/>
    </row>
    <row r="260" spans="1:39" s="431" customFormat="true">
      <c r="A260" s="97">
        <v>259</v>
      </c>
      <c r="B260" s="166" t="s">
        <v>355</v>
      </c>
      <c r="C260" s="162">
        <v>46101.6231828704</v>
      </c>
      <c r="D260" s="167">
        <v>12</v>
      </c>
      <c r="E260" s="120">
        <v>46101</v>
      </c>
      <c r="F260" s="168" t="s">
        <v>228</v>
      </c>
      <c r="G260" s="168" t="s">
        <v>1198</v>
      </c>
      <c r="H260" s="96" t="s">
        <v>607</v>
      </c>
      <c r="I260" s="152" t="s">
        <v>609</v>
      </c>
      <c r="J260" s="97" t="s">
        <f>=_xlfn.TEXTJOIN("+",TRUE,_xlfn._xlws.FILTER(_xlfn.TEXTSPLIT(H260,,"+"),(_xlfn.TEXTSPLIT(H260,,"+")&lt;&gt;"埃米工具")*(_xlfn.TEXTSPLIT(H260,,"+")&lt;&gt;"埃米广告通")))</f>
        <v>607</v>
      </c>
      <c r="K260" s="109">
        <f>=EDATE(C260,D260)</f>
        <v>46466</v>
      </c>
      <c r="L260" s="168" t="s"/>
      <c r="M260" s="128" t="s"/>
      <c r="N260" s="96" t="s">
        <v>611</v>
      </c>
      <c r="O260" s="168" t="s"/>
      <c r="P260" s="168">
        <v>4.13</v>
      </c>
      <c r="Q260" s="171" t="s"/>
      <c r="R260" s="172" t="s"/>
      <c r="S260" s="172" t="s"/>
      <c r="T260" s="168" t="s"/>
      <c r="U260" s="168" t="s"/>
      <c r="V260" s="168" t="s"/>
      <c r="W260" s="168" t="s"/>
      <c r="X260" s="168" t="s"/>
      <c r="Y260" s="168" t="s"/>
      <c r="Z260" s="109" t="s"/>
      <c r="AA260" s="97" t="s"/>
      <c r="AB260" s="97" t="s"/>
      <c r="AC260" s="97" t="s"/>
      <c r="AD260" s="97" t="s"/>
      <c r="AE260" s="97" t="s"/>
      <c r="AF260" s="97" t="s"/>
      <c r="AG260" s="97" t="s"/>
      <c r="AH260" s="97" t="s"/>
      <c r="AI260" s="97" t="s"/>
      <c r="AJ260" s="97" t="s"/>
      <c r="AK260" s="97" t="s"/>
      <c r="AL260" s="97" t="s"/>
      <c r="AM260" s="97" t="s"/>
    </row>
    <row r="261" spans="1:39" s="431" customFormat="true">
      <c r="A261" s="97">
        <v>260</v>
      </c>
      <c r="B261" s="166" t="s">
        <v>341</v>
      </c>
      <c r="C261" s="162">
        <v>46101.6295486111</v>
      </c>
      <c r="D261" s="167">
        <v>12</v>
      </c>
      <c r="E261" s="120">
        <v>46101</v>
      </c>
      <c r="F261" s="168" t="s">
        <v>228</v>
      </c>
      <c r="G261" s="168" t="s">
        <v>1199</v>
      </c>
      <c r="H261" s="96" t="s">
        <v>607</v>
      </c>
      <c r="I261" s="152" t="s">
        <v>609</v>
      </c>
      <c r="J261" s="97" t="s">
        <f>=_xlfn.TEXTJOIN("+",TRUE,_xlfn._xlws.FILTER(_xlfn.TEXTSPLIT(H261,,"+"),(_xlfn.TEXTSPLIT(H261,,"+")&lt;&gt;"埃米工具")*(_xlfn.TEXTSPLIT(H261,,"+")&lt;&gt;"埃米广告通")))</f>
        <v>607</v>
      </c>
      <c r="K261" s="109">
        <f>=EDATE(C261,D261)</f>
        <v>46466</v>
      </c>
      <c r="L261" s="168" t="s"/>
      <c r="M261" s="128" t="s"/>
      <c r="N261" s="95" t="s">
        <v>611</v>
      </c>
      <c r="O261" s="168" t="s">
        <v>1128</v>
      </c>
      <c r="P261" s="168" t="s"/>
      <c r="Q261" s="171" t="s"/>
      <c r="R261" s="172" t="s"/>
      <c r="S261" s="172" t="s"/>
      <c r="T261" s="168" t="s"/>
      <c r="U261" s="168" t="s"/>
      <c r="V261" s="168" t="s"/>
      <c r="W261" s="168" t="s"/>
      <c r="X261" s="168" t="s"/>
      <c r="Y261" s="168" t="s"/>
      <c r="Z261" s="97" t="s"/>
      <c r="AA261" s="97" t="s"/>
      <c r="AB261" s="97" t="s"/>
      <c r="AC261" s="97" t="s"/>
      <c r="AD261" s="97" t="s"/>
      <c r="AE261" s="97" t="s"/>
      <c r="AF261" s="97" t="s"/>
      <c r="AG261" s="97" t="s"/>
      <c r="AH261" s="97" t="s"/>
      <c r="AI261" s="97" t="s"/>
      <c r="AJ261" s="97" t="s"/>
      <c r="AK261" s="97" t="s"/>
      <c r="AL261" s="97" t="s"/>
      <c r="AM261" s="97" t="s"/>
    </row>
    <row r="262" spans="1:39" s="431" customFormat="true">
      <c r="A262" s="97">
        <v>261</v>
      </c>
      <c r="B262" s="166" t="s">
        <v>346</v>
      </c>
      <c r="C262" s="162">
        <v>46101.5989120371</v>
      </c>
      <c r="D262" s="167">
        <v>12</v>
      </c>
      <c r="E262" s="120">
        <v>46101</v>
      </c>
      <c r="F262" s="168" t="s">
        <v>228</v>
      </c>
      <c r="G262" s="168" t="s">
        <v>1200</v>
      </c>
      <c r="H262" s="96" t="s">
        <v>607</v>
      </c>
      <c r="I262" s="166" t="s">
        <v>609</v>
      </c>
      <c r="J262" s="97" t="s">
        <f>=_xlfn.TEXTJOIN("+",TRUE,_xlfn._xlws.FILTER(_xlfn.TEXTSPLIT(H262,,"+"),(_xlfn.TEXTSPLIT(H262,,"+")&lt;&gt;"埃米工具")*(_xlfn.TEXTSPLIT(H262,,"+")&lt;&gt;"埃米广告通")))</f>
        <v>607</v>
      </c>
      <c r="K262" s="109">
        <f>=EDATE(C262,D262)</f>
        <v>46466</v>
      </c>
      <c r="L262" s="168" t="s"/>
      <c r="M262" s="128" t="s"/>
      <c r="N262" s="96" t="s">
        <v>611</v>
      </c>
      <c r="O262" s="168" t="s">
        <v>1128</v>
      </c>
      <c r="P262" s="168" t="s"/>
      <c r="Q262" s="171" t="s"/>
      <c r="R262" s="172" t="s"/>
      <c r="S262" s="172" t="s"/>
      <c r="T262" s="168" t="s"/>
      <c r="U262" s="168" t="s"/>
      <c r="V262" s="168" t="s"/>
      <c r="W262" s="168" t="s"/>
      <c r="X262" s="168" t="s"/>
      <c r="Y262" s="168" t="s"/>
      <c r="Z262" s="97" t="s"/>
      <c r="AA262" s="97" t="s"/>
      <c r="AB262" s="97" t="s"/>
      <c r="AC262" s="97" t="s"/>
      <c r="AD262" s="97" t="s"/>
      <c r="AE262" s="97" t="s"/>
      <c r="AF262" s="97" t="s"/>
      <c r="AG262" s="97" t="s"/>
      <c r="AH262" s="97" t="s"/>
      <c r="AI262" s="97" t="s"/>
      <c r="AJ262" s="97" t="s"/>
      <c r="AK262" s="97" t="s"/>
      <c r="AL262" s="97" t="s"/>
      <c r="AM262" s="97" t="s"/>
    </row>
    <row r="263" spans="1:39" s="431" customFormat="true">
      <c r="A263" s="97">
        <v>262</v>
      </c>
      <c r="B263" s="166" t="s">
        <v>1201</v>
      </c>
      <c r="C263" s="162">
        <v>46101.6720138889</v>
      </c>
      <c r="D263" s="167">
        <v>12</v>
      </c>
      <c r="E263" s="120">
        <v>46101</v>
      </c>
      <c r="F263" s="168" t="s">
        <v>236</v>
      </c>
      <c r="G263" s="168" t="s">
        <v>1202</v>
      </c>
      <c r="H263" s="96" t="s">
        <v>607</v>
      </c>
      <c r="I263" s="166" t="s">
        <v>609</v>
      </c>
      <c r="J263" s="97" t="s">
        <f>=_xlfn.TEXTJOIN("+",TRUE,_xlfn._xlws.FILTER(_xlfn.TEXTSPLIT(H263,,"+"),(_xlfn.TEXTSPLIT(H263,,"+")&lt;&gt;"埃米工具")*(_xlfn.TEXTSPLIT(H263,,"+")&lt;&gt;"埃米广告通")))</f>
        <v>607</v>
      </c>
      <c r="K263" s="109">
        <f>=EDATE(C263,D263)</f>
        <v>46466</v>
      </c>
      <c r="L263" s="168" t="s"/>
      <c r="M263" s="128" t="s"/>
      <c r="N263" s="96" t="s">
        <v>611</v>
      </c>
      <c r="O263" s="168" t="s">
        <v>1194</v>
      </c>
      <c r="P263" s="168" t="s">
        <v>1203</v>
      </c>
      <c r="Q263" s="171" t="s"/>
      <c r="R263" s="172" t="s"/>
      <c r="S263" s="172" t="s"/>
      <c r="T263" s="168" t="s"/>
      <c r="U263" s="168" t="s"/>
      <c r="V263" s="168" t="s"/>
      <c r="W263" s="168" t="s"/>
      <c r="X263" s="168" t="s"/>
      <c r="Y263" s="168" t="s"/>
      <c r="Z263" s="109" t="s"/>
      <c r="AA263" s="97" t="s"/>
      <c r="AB263" s="97" t="s"/>
      <c r="AC263" s="97" t="s"/>
      <c r="AD263" s="97" t="s"/>
      <c r="AE263" s="97" t="s"/>
      <c r="AF263" s="97" t="s"/>
      <c r="AG263" s="97" t="s"/>
      <c r="AH263" s="97" t="s"/>
      <c r="AI263" s="97" t="s"/>
      <c r="AJ263" s="97" t="s"/>
      <c r="AK263" s="97" t="s"/>
      <c r="AL263" s="97" t="s"/>
      <c r="AM263" s="97" t="s"/>
    </row>
    <row r="264" spans="1:39" s="431" customFormat="true">
      <c r="A264" s="97">
        <v>263</v>
      </c>
      <c r="B264" s="166" t="s">
        <v>1204</v>
      </c>
      <c r="C264" s="162">
        <v>46101.6986574074</v>
      </c>
      <c r="D264" s="167">
        <v>12</v>
      </c>
      <c r="E264" s="120">
        <v>46101</v>
      </c>
      <c r="F264" s="168" t="s">
        <v>234</v>
      </c>
      <c r="G264" s="168" t="s">
        <v>1205</v>
      </c>
      <c r="H264" s="96" t="s">
        <v>607</v>
      </c>
      <c r="I264" s="166" t="s">
        <v>609</v>
      </c>
      <c r="J264" s="97" t="s">
        <f>=_xlfn.TEXTJOIN("+",TRUE,_xlfn._xlws.FILTER(_xlfn.TEXTSPLIT(H264,,"+"),(_xlfn.TEXTSPLIT(H264,,"+")&lt;&gt;"埃米工具")*(_xlfn.TEXTSPLIT(H264,,"+")&lt;&gt;"埃米广告通")))</f>
        <v>607</v>
      </c>
      <c r="K264" s="109">
        <f>=EDATE(C264,D264)</f>
        <v>46466</v>
      </c>
      <c r="L264" s="168" t="s"/>
      <c r="M264" s="128" t="s"/>
      <c r="N264" s="96" t="s">
        <v>611</v>
      </c>
      <c r="O264" s="168" t="s">
        <v>1128</v>
      </c>
      <c r="P264" s="168" t="s"/>
      <c r="Q264" s="171" t="s"/>
      <c r="R264" s="172" t="s"/>
      <c r="S264" s="172" t="s"/>
      <c r="T264" s="168" t="s"/>
      <c r="U264" s="168" t="s"/>
      <c r="V264" s="168" t="s"/>
      <c r="W264" s="168" t="s"/>
      <c r="X264" s="168" t="s"/>
      <c r="Y264" s="168" t="s"/>
      <c r="Z264" s="97" t="s"/>
      <c r="AA264" s="97" t="s"/>
      <c r="AB264" s="97" t="s"/>
      <c r="AC264" s="97" t="s"/>
      <c r="AD264" s="97" t="s"/>
      <c r="AE264" s="97" t="s"/>
      <c r="AF264" s="97" t="s"/>
      <c r="AG264" s="97" t="s"/>
      <c r="AH264" s="97" t="s"/>
      <c r="AI264" s="97" t="s"/>
      <c r="AJ264" s="97" t="s"/>
      <c r="AK264" s="97" t="s"/>
      <c r="AL264" s="97" t="s"/>
      <c r="AM264" s="97" t="s"/>
    </row>
    <row r="265" spans="1:39" s="431" customFormat="true">
      <c r="A265" s="97">
        <v>264</v>
      </c>
      <c r="B265" s="166" t="s">
        <v>125</v>
      </c>
      <c r="C265" s="162">
        <v>46101.7056944445</v>
      </c>
      <c r="D265" s="167">
        <v>12</v>
      </c>
      <c r="E265" s="120">
        <v>46104</v>
      </c>
      <c r="F265" s="168" t="s">
        <v>228</v>
      </c>
      <c r="G265" s="168" t="s">
        <v>1206</v>
      </c>
      <c r="H265" s="96" t="s">
        <v>12</v>
      </c>
      <c r="I265" s="166" t="s">
        <v>609</v>
      </c>
      <c r="J265" s="97" t="s">
        <f>=_xlfn.TEXTJOIN("+",TRUE,_xlfn._xlws.FILTER(_xlfn.TEXTSPLIT(H265,,"+"),(_xlfn.TEXTSPLIT(H265,,"+")&lt;&gt;"埃米工具")*(_xlfn.TEXTSPLIT(H265,,"+")&lt;&gt;"埃米广告通")))</f>
        <v>12</v>
      </c>
      <c r="K265" s="109">
        <f>=EDATE(C265,D265)</f>
        <v>46466</v>
      </c>
      <c r="L265" s="193">
        <v>46104</v>
      </c>
      <c r="M265" s="194" t="s">
        <v>953</v>
      </c>
      <c r="N265" s="96" t="s">
        <v>611</v>
      </c>
      <c r="O265" s="168" t="s">
        <v>1128</v>
      </c>
      <c r="P265" s="168" t="s"/>
      <c r="Q265" s="171" t="s"/>
      <c r="R265" s="172" t="s"/>
      <c r="S265" s="172" t="s"/>
      <c r="T265" s="168" t="s"/>
      <c r="U265" s="168" t="s"/>
      <c r="V265" s="168" t="s"/>
      <c r="W265" s="168" t="s"/>
      <c r="X265" s="168" t="s"/>
      <c r="Y265" s="168" t="s"/>
      <c r="Z265" s="97" t="s"/>
      <c r="AA265" s="97" t="s"/>
      <c r="AB265" s="97" t="s"/>
      <c r="AC265" s="97" t="s"/>
      <c r="AD265" s="97" t="s"/>
      <c r="AE265" s="97" t="s"/>
      <c r="AF265" s="97" t="s"/>
      <c r="AG265" s="97" t="s"/>
      <c r="AH265" s="97" t="s"/>
      <c r="AI265" s="97" t="s"/>
      <c r="AJ265" s="97" t="s"/>
      <c r="AK265" s="97" t="s"/>
      <c r="AL265" s="97" t="s"/>
      <c r="AM265" s="97" t="s"/>
    </row>
    <row r="266" spans="1:39" s="431" customFormat="true">
      <c r="A266" s="97">
        <v>265</v>
      </c>
      <c r="B266" s="166" t="s">
        <v>1207</v>
      </c>
      <c r="C266" s="162">
        <v>46101.6596990741</v>
      </c>
      <c r="D266" s="167">
        <v>12</v>
      </c>
      <c r="E266" s="120">
        <v>46104</v>
      </c>
      <c r="F266" s="168" t="s">
        <v>215</v>
      </c>
      <c r="G266" s="168" t="s">
        <v>1208</v>
      </c>
      <c r="H266" s="96" t="s">
        <v>607</v>
      </c>
      <c r="I266" s="166" t="s">
        <v>609</v>
      </c>
      <c r="J266" s="97" t="s">
        <f>=_xlfn.TEXTJOIN("+",TRUE,_xlfn._xlws.FILTER(_xlfn.TEXTSPLIT(H266,,"+"),(_xlfn.TEXTSPLIT(H266,,"+")&lt;&gt;"埃米工具")*(_xlfn.TEXTSPLIT(H266,,"+")&lt;&gt;"埃米广告通")))</f>
        <v>607</v>
      </c>
      <c r="K266" s="109">
        <f>=EDATE(C266,D266)</f>
        <v>46466</v>
      </c>
      <c r="L266" s="168" t="s"/>
      <c r="M266" s="128" t="s"/>
      <c r="N266" s="96" t="s">
        <v>611</v>
      </c>
      <c r="O266" s="155" t="s">
        <v>1209</v>
      </c>
      <c r="P266" s="168" t="s"/>
      <c r="Q266" s="171" t="s"/>
      <c r="R266" s="172" t="s"/>
      <c r="S266" s="172" t="s"/>
      <c r="T266" s="168" t="s"/>
      <c r="U266" s="168" t="s"/>
      <c r="V266" s="168" t="s"/>
      <c r="W266" s="168" t="s"/>
      <c r="X266" s="168" t="s"/>
      <c r="Y266" s="168" t="s"/>
      <c r="Z266" s="97" t="s"/>
      <c r="AA266" s="97" t="s"/>
      <c r="AB266" s="97" t="s"/>
      <c r="AC266" s="97" t="s"/>
      <c r="AD266" s="97" t="s"/>
      <c r="AE266" s="97" t="s"/>
      <c r="AF266" s="97" t="s"/>
      <c r="AG266" s="97" t="s"/>
      <c r="AH266" s="97" t="s"/>
      <c r="AI266" s="97" t="s"/>
      <c r="AJ266" s="97" t="s"/>
      <c r="AK266" s="97" t="s"/>
      <c r="AL266" s="97" t="s"/>
      <c r="AM266" s="97" t="s"/>
    </row>
    <row r="267" spans="1:39" s="431" customFormat="true">
      <c r="A267" s="97">
        <v>266</v>
      </c>
      <c r="B267" s="166" t="s">
        <v>126</v>
      </c>
      <c r="C267" s="162">
        <v>46101.7509722222</v>
      </c>
      <c r="D267" s="167">
        <v>12</v>
      </c>
      <c r="E267" s="120">
        <v>46104</v>
      </c>
      <c r="F267" s="168" t="s">
        <v>215</v>
      </c>
      <c r="G267" s="179" t="s">
        <v>1210</v>
      </c>
      <c r="H267" s="96" t="s">
        <v>12</v>
      </c>
      <c r="I267" s="166" t="s">
        <v>609</v>
      </c>
      <c r="J267" s="97" t="s">
        <f>=_xlfn.TEXTJOIN("+",TRUE,_xlfn._xlws.FILTER(_xlfn.TEXTSPLIT(H267,,"+"),(_xlfn.TEXTSPLIT(H267,,"+")&lt;&gt;"埃米工具")*(_xlfn.TEXTSPLIT(H267,,"+")&lt;&gt;"埃米广告通")))</f>
        <v>12</v>
      </c>
      <c r="K267" s="109">
        <f>=EDATE(C267,D267)</f>
        <v>46466</v>
      </c>
      <c r="L267" s="191">
        <v>46106</v>
      </c>
      <c r="M267" s="128" t="s">
        <v>1211</v>
      </c>
      <c r="N267" s="96" t="s">
        <v>611</v>
      </c>
      <c r="O267" s="126" t="s">
        <v>1075</v>
      </c>
      <c r="P267" s="168" t="s"/>
      <c r="Q267" s="171" t="s"/>
      <c r="R267" s="172" t="s"/>
      <c r="S267" s="172" t="s"/>
      <c r="T267" s="168" t="s"/>
      <c r="U267" s="168" t="s"/>
      <c r="V267" s="168" t="s"/>
      <c r="W267" s="168" t="s"/>
      <c r="X267" s="168" t="s"/>
      <c r="Y267" s="168" t="s"/>
      <c r="Z267" s="97" t="s"/>
      <c r="AA267" s="97" t="s"/>
      <c r="AB267" s="97" t="s"/>
      <c r="AC267" s="97" t="s"/>
      <c r="AD267" s="97" t="s"/>
      <c r="AE267" s="97" t="s"/>
      <c r="AF267" s="97" t="s"/>
      <c r="AG267" s="97" t="s"/>
      <c r="AH267" s="97" t="s"/>
      <c r="AI267" s="97" t="s"/>
      <c r="AJ267" s="97" t="s"/>
      <c r="AK267" s="97" t="s"/>
      <c r="AL267" s="97" t="s"/>
      <c r="AM267" s="97" t="s"/>
    </row>
    <row r="268" spans="1:39" s="431" customFormat="true">
      <c r="A268" s="97">
        <v>267</v>
      </c>
      <c r="B268" s="166" t="s">
        <v>363</v>
      </c>
      <c r="C268" s="162">
        <v>46101.7559375</v>
      </c>
      <c r="D268" s="167">
        <v>12</v>
      </c>
      <c r="E268" s="120">
        <v>46104</v>
      </c>
      <c r="F268" s="168" t="s">
        <v>224</v>
      </c>
      <c r="G268" s="179" t="s">
        <v>1212</v>
      </c>
      <c r="H268" s="96" t="s">
        <v>607</v>
      </c>
      <c r="I268" s="166" t="s">
        <v>609</v>
      </c>
      <c r="J268" s="97" t="s">
        <f>=_xlfn.TEXTJOIN("+",TRUE,_xlfn._xlws.FILTER(_xlfn.TEXTSPLIT(H268,,"+"),(_xlfn.TEXTSPLIT(H268,,"+")&lt;&gt;"埃米工具")*(_xlfn.TEXTSPLIT(H268,,"+")&lt;&gt;"埃米广告通")))</f>
        <v>607</v>
      </c>
      <c r="K268" s="109">
        <f>=EDATE(C268,D268)</f>
        <v>46466</v>
      </c>
      <c r="L268" s="168" t="s"/>
      <c r="M268" s="128" t="s"/>
      <c r="N268" s="96" t="s">
        <v>611</v>
      </c>
      <c r="O268" s="168" t="s">
        <v>1082</v>
      </c>
      <c r="P268" s="168" t="s"/>
      <c r="Q268" s="171" t="s"/>
      <c r="R268" s="172" t="s"/>
      <c r="S268" s="172" t="s"/>
      <c r="T268" s="168" t="s"/>
      <c r="U268" s="168" t="s"/>
      <c r="V268" s="168" t="s"/>
      <c r="W268" s="168" t="s"/>
      <c r="X268" s="168" t="s"/>
      <c r="Y268" s="168" t="s"/>
      <c r="Z268" s="97" t="s"/>
      <c r="AA268" s="97" t="s"/>
      <c r="AB268" s="97" t="s"/>
      <c r="AC268" s="97" t="s"/>
      <c r="AD268" s="97" t="s"/>
      <c r="AE268" s="97" t="s"/>
      <c r="AF268" s="97" t="s"/>
      <c r="AG268" s="97" t="s"/>
      <c r="AH268" s="97" t="s"/>
      <c r="AI268" s="97" t="s"/>
      <c r="AJ268" s="97" t="s"/>
      <c r="AK268" s="97" t="s"/>
      <c r="AL268" s="97" t="s"/>
      <c r="AM268" s="97" t="s"/>
    </row>
    <row r="269" spans="1:39" s="431" customFormat="true">
      <c r="A269" s="97">
        <v>268</v>
      </c>
      <c r="B269" s="137" t="s">
        <v>127</v>
      </c>
      <c r="C269" s="162">
        <v>46104.3703703704</v>
      </c>
      <c r="D269" s="167">
        <v>24</v>
      </c>
      <c r="E269" s="120">
        <v>46104</v>
      </c>
      <c r="F269" s="168" t="s">
        <v>228</v>
      </c>
      <c r="G269" s="179" t="s">
        <v>1213</v>
      </c>
      <c r="H269" s="96" t="s">
        <v>12</v>
      </c>
      <c r="I269" s="166" t="s">
        <v>646</v>
      </c>
      <c r="J269" s="97" t="s">
        <f>=_xlfn.TEXTJOIN("+",TRUE,_xlfn._xlws.FILTER(_xlfn.TEXTSPLIT(H269,,"+"),(_xlfn.TEXTSPLIT(H269,,"+")&lt;&gt;"埃米工具")*(_xlfn.TEXTSPLIT(H269,,"+")&lt;&gt;"埃米广告通")))</f>
        <v>12</v>
      </c>
      <c r="K269" s="100">
        <f>=EDATE(C269,D269)</f>
        <v>46835</v>
      </c>
      <c r="L269" s="193">
        <v>46104</v>
      </c>
      <c r="M269" s="168" t="s">
        <v>1214</v>
      </c>
      <c r="N269" s="96" t="s">
        <v>611</v>
      </c>
      <c r="O269" s="168" t="s">
        <v>1128</v>
      </c>
      <c r="P269" s="168" t="s"/>
      <c r="Q269" s="171" t="s"/>
      <c r="R269" s="172" t="s"/>
      <c r="S269" s="172" t="s"/>
      <c r="T269" s="168" t="s"/>
      <c r="U269" s="168" t="s"/>
      <c r="V269" s="168" t="s"/>
      <c r="W269" s="168" t="s"/>
      <c r="X269" s="168" t="s"/>
      <c r="Y269" s="168" t="s"/>
      <c r="Z269" s="97" t="s"/>
      <c r="AA269" s="97" t="s"/>
      <c r="AB269" s="97" t="s"/>
      <c r="AC269" s="97" t="s"/>
      <c r="AD269" s="97" t="s"/>
      <c r="AE269" s="97" t="s"/>
      <c r="AF269" s="97" t="s"/>
      <c r="AG269" s="97" t="s"/>
      <c r="AH269" s="97" t="s"/>
      <c r="AI269" s="97" t="s"/>
      <c r="AJ269" s="97" t="s"/>
      <c r="AK269" s="97" t="s"/>
      <c r="AL269" s="97" t="s"/>
      <c r="AM269" s="97" t="s"/>
    </row>
    <row r="270" spans="1:39" s="431" customFormat="true">
      <c r="A270" s="97">
        <v>269</v>
      </c>
      <c r="B270" s="137" t="s">
        <v>128</v>
      </c>
      <c r="C270" s="162">
        <v>46101.8425462962</v>
      </c>
      <c r="D270" s="167">
        <v>12</v>
      </c>
      <c r="E270" s="120">
        <v>46104</v>
      </c>
      <c r="F270" s="168" t="s">
        <v>228</v>
      </c>
      <c r="G270" s="168" t="s">
        <v>1215</v>
      </c>
      <c r="H270" s="96" t="s">
        <v>606</v>
      </c>
      <c r="I270" s="166" t="s">
        <v>646</v>
      </c>
      <c r="J270" s="97" t="s">
        <f>=_xlfn.TEXTJOIN("+",TRUE,_xlfn._xlws.FILTER(_xlfn.TEXTSPLIT(H270,,"+"),(_xlfn.TEXTSPLIT(H270,,"+")&lt;&gt;"埃米工具")*(_xlfn.TEXTSPLIT(H270,,"+")&lt;&gt;"埃米广告通")))</f>
        <v>15</v>
      </c>
      <c r="K270" s="109">
        <f>=EDATE(C270,D270)</f>
        <v>46466</v>
      </c>
      <c r="L270" s="193">
        <v>46104</v>
      </c>
      <c r="M270" s="195" t="s">
        <v>1216</v>
      </c>
      <c r="N270" s="96" t="s">
        <v>611</v>
      </c>
      <c r="O270" s="168" t="s">
        <v>1128</v>
      </c>
      <c r="P270" s="168" t="s">
        <v>1217</v>
      </c>
      <c r="Q270" s="171" t="s"/>
      <c r="R270" s="172" t="s"/>
      <c r="S270" s="172" t="s"/>
      <c r="T270" s="168" t="s"/>
      <c r="U270" s="168" t="s"/>
      <c r="V270" s="168" t="s"/>
      <c r="W270" s="168" t="s"/>
      <c r="X270" s="168" t="s"/>
      <c r="Y270" s="168" t="s"/>
      <c r="Z270" s="97" t="s"/>
      <c r="AA270" s="97" t="s"/>
      <c r="AB270" s="97" t="s"/>
      <c r="AC270" s="97" t="s"/>
      <c r="AD270" s="97" t="s"/>
      <c r="AE270" s="97" t="s"/>
      <c r="AF270" s="97" t="s"/>
      <c r="AG270" s="97" t="s"/>
      <c r="AH270" s="97" t="s"/>
      <c r="AI270" s="97" t="s"/>
      <c r="AJ270" s="97" t="s"/>
      <c r="AK270" s="97" t="s"/>
      <c r="AL270" s="97" t="s"/>
      <c r="AM270" s="97" t="s"/>
    </row>
    <row r="271" spans="1:39" s="431" customFormat="true">
      <c r="A271" s="97">
        <v>270</v>
      </c>
      <c r="B271" s="137" t="s">
        <v>1218</v>
      </c>
      <c r="C271" s="162">
        <v>46101.8758796296</v>
      </c>
      <c r="D271" s="167">
        <v>12</v>
      </c>
      <c r="E271" s="120">
        <v>46104</v>
      </c>
      <c r="F271" s="168" t="s">
        <v>228</v>
      </c>
      <c r="G271" s="168" t="s">
        <v>1219</v>
      </c>
      <c r="H271" s="96" t="s">
        <v>607</v>
      </c>
      <c r="I271" s="166" t="s">
        <v>609</v>
      </c>
      <c r="J271" s="97" t="s">
        <f>=_xlfn.TEXTJOIN("+",TRUE,_xlfn._xlws.FILTER(_xlfn.TEXTSPLIT(H271,,"+"),(_xlfn.TEXTSPLIT(H271,,"+")&lt;&gt;"埃米工具")*(_xlfn.TEXTSPLIT(H271,,"+")&lt;&gt;"埃米广告通")))</f>
        <v>607</v>
      </c>
      <c r="K271" s="109">
        <f>=EDATE(C271,D271)</f>
        <v>46466</v>
      </c>
      <c r="L271" s="168" t="s"/>
      <c r="M271" s="128" t="s"/>
      <c r="N271" s="96" t="s">
        <v>611</v>
      </c>
      <c r="O271" s="168" t="s">
        <v>1220</v>
      </c>
      <c r="P271" s="168" t="s">
        <v>1221</v>
      </c>
      <c r="Q271" s="171" t="s"/>
      <c r="R271" s="172" t="s"/>
      <c r="S271" s="172" t="s"/>
      <c r="T271" s="168" t="s"/>
      <c r="U271" s="168" t="s"/>
      <c r="V271" s="168" t="s"/>
      <c r="W271" s="168" t="s"/>
      <c r="X271" s="168" t="s"/>
      <c r="Y271" s="168" t="s"/>
      <c r="Z271" s="109" t="s"/>
      <c r="AA271" s="97" t="s"/>
      <c r="AB271" s="97" t="s"/>
      <c r="AC271" s="97" t="s"/>
      <c r="AD271" s="97" t="s"/>
      <c r="AE271" s="97" t="s"/>
      <c r="AF271" s="97" t="s"/>
      <c r="AG271" s="97" t="s"/>
      <c r="AH271" s="97" t="s"/>
      <c r="AI271" s="97" t="s"/>
      <c r="AJ271" s="97" t="s"/>
      <c r="AK271" s="97" t="s"/>
      <c r="AL271" s="97" t="s"/>
      <c r="AM271" s="97" t="s"/>
    </row>
    <row r="272" spans="1:39" s="431" customFormat="true">
      <c r="A272" s="97">
        <v>271</v>
      </c>
      <c r="B272" s="137" t="s">
        <v>351</v>
      </c>
      <c r="C272" s="162">
        <v>46101.9172569445</v>
      </c>
      <c r="D272" s="167">
        <v>12</v>
      </c>
      <c r="E272" s="120">
        <v>46104</v>
      </c>
      <c r="F272" s="168" t="s">
        <v>228</v>
      </c>
      <c r="G272" s="179" t="s">
        <v>1222</v>
      </c>
      <c r="H272" s="96" t="s">
        <v>607</v>
      </c>
      <c r="I272" s="166" t="s">
        <v>646</v>
      </c>
      <c r="J272" s="97" t="s">
        <f>=_xlfn.TEXTJOIN("+",TRUE,_xlfn._xlws.FILTER(_xlfn.TEXTSPLIT(H272,,"+"),(_xlfn.TEXTSPLIT(H272,,"+")&lt;&gt;"埃米工具")*(_xlfn.TEXTSPLIT(H272,,"+")&lt;&gt;"埃米广告通")))</f>
        <v>607</v>
      </c>
      <c r="K272" s="109">
        <f>=EDATE(C272,D272)</f>
        <v>46466</v>
      </c>
      <c r="L272" s="168" t="s"/>
      <c r="M272" s="128" t="s"/>
      <c r="N272" s="96" t="s">
        <v>611</v>
      </c>
      <c r="O272" s="168" t="s">
        <v>1128</v>
      </c>
      <c r="P272" s="168" t="s"/>
      <c r="Q272" s="171" t="s"/>
      <c r="R272" s="172" t="s"/>
      <c r="S272" s="172" t="s"/>
      <c r="T272" s="168" t="s"/>
      <c r="U272" s="168" t="s"/>
      <c r="V272" s="168" t="s"/>
      <c r="W272" s="168" t="s"/>
      <c r="X272" s="168" t="s"/>
      <c r="Y272" s="168" t="s"/>
      <c r="Z272" s="97" t="s"/>
      <c r="AA272" s="97" t="s"/>
      <c r="AB272" s="97" t="s"/>
      <c r="AC272" s="97" t="s"/>
      <c r="AD272" s="97" t="s"/>
      <c r="AE272" s="97" t="s"/>
      <c r="AF272" s="97" t="s"/>
      <c r="AG272" s="97" t="s"/>
      <c r="AH272" s="97" t="s"/>
      <c r="AI272" s="97" t="s"/>
      <c r="AJ272" s="97" t="s"/>
      <c r="AK272" s="97" t="s"/>
      <c r="AL272" s="97" t="s"/>
      <c r="AM272" s="97" t="s"/>
    </row>
    <row r="273" spans="1:39" s="431" customFormat="true">
      <c r="A273" s="97">
        <v>272</v>
      </c>
      <c r="B273" s="137" t="s">
        <v>339</v>
      </c>
      <c r="C273" s="162">
        <v>46102.4554745371</v>
      </c>
      <c r="D273" s="167">
        <v>12</v>
      </c>
      <c r="E273" s="120">
        <v>46104</v>
      </c>
      <c r="F273" s="168" t="s">
        <v>228</v>
      </c>
      <c r="G273" s="168" t="s">
        <v>1223</v>
      </c>
      <c r="H273" s="96" t="s">
        <v>607</v>
      </c>
      <c r="I273" s="166" t="s">
        <v>609</v>
      </c>
      <c r="J273" s="97" t="s">
        <f>=_xlfn.TEXTJOIN("+",TRUE,_xlfn._xlws.FILTER(_xlfn.TEXTSPLIT(H273,,"+"),(_xlfn.TEXTSPLIT(H273,,"+")&lt;&gt;"埃米工具")*(_xlfn.TEXTSPLIT(H273,,"+")&lt;&gt;"埃米广告通")))</f>
        <v>607</v>
      </c>
      <c r="K273" s="109">
        <f>=EDATE(C273,D273)</f>
        <v>46467</v>
      </c>
      <c r="L273" s="168" t="s"/>
      <c r="M273" s="128" t="s"/>
      <c r="N273" s="96" t="s">
        <v>611</v>
      </c>
      <c r="O273" s="168" t="s">
        <v>1128</v>
      </c>
      <c r="P273" s="168" t="s"/>
      <c r="Q273" s="171" t="s"/>
      <c r="R273" s="172" t="s"/>
      <c r="S273" s="172" t="s"/>
      <c r="T273" s="168" t="s"/>
      <c r="U273" s="168" t="s"/>
      <c r="V273" s="168" t="s"/>
      <c r="W273" s="168" t="s"/>
      <c r="X273" s="168" t="s"/>
      <c r="Y273" s="168" t="s"/>
      <c r="Z273" s="97" t="s"/>
      <c r="AA273" s="97" t="s"/>
      <c r="AB273" s="97" t="s"/>
      <c r="AC273" s="97" t="s"/>
      <c r="AD273" s="97" t="s"/>
      <c r="AE273" s="97" t="s"/>
      <c r="AF273" s="97" t="s"/>
      <c r="AG273" s="97" t="s"/>
      <c r="AH273" s="97" t="s"/>
      <c r="AI273" s="97" t="s"/>
      <c r="AJ273" s="97" t="s"/>
      <c r="AK273" s="97" t="s"/>
      <c r="AL273" s="97" t="s"/>
      <c r="AM273" s="97" t="s"/>
    </row>
    <row r="274" spans="1:39" s="431" customFormat="true">
      <c r="A274" s="97">
        <v>273</v>
      </c>
      <c r="B274" s="166" t="s">
        <v>130</v>
      </c>
      <c r="C274" s="162">
        <v>46104.4285532407</v>
      </c>
      <c r="D274" s="167">
        <v>12</v>
      </c>
      <c r="E274" s="120">
        <v>46104</v>
      </c>
      <c r="F274" s="168" t="s">
        <v>234</v>
      </c>
      <c r="G274" s="179" t="s">
        <v>1224</v>
      </c>
      <c r="H274" s="96" t="s">
        <v>12</v>
      </c>
      <c r="I274" s="166" t="s">
        <v>609</v>
      </c>
      <c r="J274" s="97" t="s">
        <f>=_xlfn.TEXTJOIN("+",TRUE,_xlfn._xlws.FILTER(_xlfn.TEXTSPLIT(H274,,"+"),(_xlfn.TEXTSPLIT(H274,,"+")&lt;&gt;"埃米工具")*(_xlfn.TEXTSPLIT(H274,,"+")&lt;&gt;"埃米广告通")))</f>
        <v>12</v>
      </c>
      <c r="K274" s="109">
        <f>=EDATE(C274,D274)</f>
        <v>46469</v>
      </c>
      <c r="L274" s="193">
        <v>46104</v>
      </c>
      <c r="M274" s="128" t="s">
        <v>1225</v>
      </c>
      <c r="N274" s="96" t="s">
        <v>611</v>
      </c>
      <c r="O274" s="168" t="s">
        <v>1226</v>
      </c>
      <c r="P274" s="168" t="s"/>
      <c r="Q274" s="171" t="s"/>
      <c r="R274" s="172" t="s"/>
      <c r="S274" s="172" t="s"/>
      <c r="T274" s="168" t="s"/>
      <c r="U274" s="168" t="s"/>
      <c r="V274" s="168" t="s"/>
      <c r="W274" s="168" t="s"/>
      <c r="X274" s="168" t="s"/>
      <c r="Y274" s="168" t="s"/>
      <c r="Z274" s="97" t="s"/>
      <c r="AA274" s="97" t="s"/>
      <c r="AB274" s="97" t="s"/>
      <c r="AC274" s="97" t="s"/>
      <c r="AD274" s="97" t="s"/>
      <c r="AE274" s="97" t="s"/>
      <c r="AF274" s="97" t="s"/>
      <c r="AG274" s="97" t="s"/>
      <c r="AH274" s="97" t="s"/>
      <c r="AI274" s="97" t="s"/>
      <c r="AJ274" s="97" t="s"/>
      <c r="AK274" s="97" t="s"/>
      <c r="AL274" s="97" t="s"/>
      <c r="AM274" s="97" t="s"/>
    </row>
    <row r="275" spans="1:39" s="431" customFormat="true">
      <c r="A275" s="97">
        <v>274</v>
      </c>
      <c r="B275" s="166" t="s">
        <v>358</v>
      </c>
      <c r="C275" s="162">
        <v>46104.4587268519</v>
      </c>
      <c r="D275" s="167">
        <v>12</v>
      </c>
      <c r="E275" s="120">
        <v>46104</v>
      </c>
      <c r="F275" s="168" t="s">
        <v>228</v>
      </c>
      <c r="G275" s="168" t="s">
        <v>1227</v>
      </c>
      <c r="H275" s="96" t="s">
        <v>607</v>
      </c>
      <c r="I275" s="166" t="s">
        <v>609</v>
      </c>
      <c r="J275" s="97" t="s">
        <f>=_xlfn.TEXTJOIN("+",TRUE,_xlfn._xlws.FILTER(_xlfn.TEXTSPLIT(H275,,"+"),(_xlfn.TEXTSPLIT(H275,,"+")&lt;&gt;"埃米工具")*(_xlfn.TEXTSPLIT(H275,,"+")&lt;&gt;"埃米广告通")))</f>
        <v>607</v>
      </c>
      <c r="K275" s="109">
        <f>=EDATE(C275,D275)</f>
        <v>46469</v>
      </c>
      <c r="L275" s="168" t="s"/>
      <c r="M275" s="128" t="s"/>
      <c r="N275" s="96" t="s">
        <v>611</v>
      </c>
      <c r="O275" s="168" t="s">
        <v>1128</v>
      </c>
      <c r="P275" s="168" t="s"/>
      <c r="Q275" s="171" t="s"/>
      <c r="R275" s="172" t="s"/>
      <c r="S275" s="172" t="s"/>
      <c r="T275" s="168" t="s"/>
      <c r="U275" s="168" t="s"/>
      <c r="V275" s="168" t="s"/>
      <c r="W275" s="168" t="s"/>
      <c r="X275" s="168" t="s"/>
      <c r="Y275" s="168" t="s"/>
      <c r="Z275" s="97" t="s"/>
      <c r="AA275" s="97" t="s"/>
      <c r="AB275" s="97" t="s"/>
      <c r="AC275" s="97" t="s"/>
      <c r="AD275" s="97" t="s"/>
      <c r="AE275" s="97" t="s"/>
      <c r="AF275" s="97" t="s"/>
      <c r="AG275" s="97" t="s"/>
      <c r="AH275" s="97" t="s"/>
      <c r="AI275" s="97" t="s"/>
      <c r="AJ275" s="97" t="s"/>
      <c r="AK275" s="97" t="s"/>
      <c r="AL275" s="97" t="s"/>
      <c r="AM275" s="97" t="s"/>
    </row>
    <row r="276" spans="1:39" s="431" customFormat="true">
      <c r="A276" s="97">
        <v>275</v>
      </c>
      <c r="B276" s="166" t="s">
        <v>131</v>
      </c>
      <c r="C276" s="162">
        <v>46104.4780208333</v>
      </c>
      <c r="D276" s="167">
        <v>12</v>
      </c>
      <c r="E276" s="120">
        <v>46104</v>
      </c>
      <c r="F276" s="168" t="s">
        <v>236</v>
      </c>
      <c r="G276" s="179" t="s">
        <v>1228</v>
      </c>
      <c r="H276" s="96" t="s">
        <v>606</v>
      </c>
      <c r="I276" s="166" t="s">
        <v>646</v>
      </c>
      <c r="J276" s="97" t="s">
        <f>=_xlfn.TEXTJOIN("+",TRUE,_xlfn._xlws.FILTER(_xlfn.TEXTSPLIT(H276,,"+"),(_xlfn.TEXTSPLIT(H276,,"+")&lt;&gt;"埃米工具")*(_xlfn.TEXTSPLIT(H276,,"+")&lt;&gt;"埃米广告通")))</f>
        <v>15</v>
      </c>
      <c r="K276" s="109">
        <f>=EDATE(C276,D276)</f>
        <v>46469</v>
      </c>
      <c r="L276" s="191">
        <v>46108</v>
      </c>
      <c r="M276" s="128" t="s">
        <v>1029</v>
      </c>
      <c r="N276" s="96" t="s">
        <v>611</v>
      </c>
      <c r="O276" s="168" t="s">
        <v>1229</v>
      </c>
      <c r="P276" s="170" t="s">
        <v>1230</v>
      </c>
      <c r="Q276" s="196" t="s">
        <v>845</v>
      </c>
      <c r="R276" s="197" t="s"/>
      <c r="S276" s="168" t="s"/>
      <c r="T276" s="168" t="s"/>
      <c r="U276" s="168" t="s"/>
      <c r="V276" s="168" t="s"/>
      <c r="W276" s="168" t="s"/>
      <c r="X276" s="168" t="s"/>
      <c r="Y276" s="168" t="s"/>
      <c r="Z276" s="109" t="s"/>
      <c r="AA276" s="97" t="s"/>
      <c r="AB276" s="97" t="s"/>
      <c r="AC276" s="97" t="s"/>
      <c r="AD276" s="97" t="s"/>
      <c r="AE276" s="97" t="s"/>
      <c r="AF276" s="97" t="s"/>
      <c r="AG276" s="97" t="s"/>
      <c r="AH276" s="97" t="s"/>
      <c r="AI276" s="97" t="s"/>
      <c r="AJ276" s="97" t="s"/>
      <c r="AK276" s="97" t="s"/>
      <c r="AL276" s="97" t="s"/>
      <c r="AM276" s="97" t="s"/>
    </row>
    <row r="277" spans="1:39" s="431" customFormat="true">
      <c r="A277" s="97">
        <v>276</v>
      </c>
      <c r="B277" s="166" t="s">
        <v>133</v>
      </c>
      <c r="C277" s="162">
        <v>46104.4338657408</v>
      </c>
      <c r="D277" s="167">
        <v>12</v>
      </c>
      <c r="E277" s="120">
        <v>46104</v>
      </c>
      <c r="F277" s="168" t="s">
        <v>224</v>
      </c>
      <c r="G277" s="168" t="s">
        <v>1231</v>
      </c>
      <c r="H277" s="96" t="s">
        <v>12</v>
      </c>
      <c r="I277" s="166" t="s">
        <v>646</v>
      </c>
      <c r="J277" s="97" t="s">
        <f>=_xlfn.TEXTJOIN("+",TRUE,_xlfn._xlws.FILTER(_xlfn.TEXTSPLIT(H277,,"+"),(_xlfn.TEXTSPLIT(H277,,"+")&lt;&gt;"埃米工具")*(_xlfn.TEXTSPLIT(H277,,"+")&lt;&gt;"埃米广告通")))</f>
        <v>12</v>
      </c>
      <c r="K277" s="109">
        <f>=EDATE(C277,D277)</f>
        <v>46469</v>
      </c>
      <c r="L277" s="120">
        <v>46104</v>
      </c>
      <c r="M277" s="128" t="s">
        <v>1232</v>
      </c>
      <c r="N277" s="96" t="s">
        <v>611</v>
      </c>
      <c r="O277" s="168" t="s">
        <v>1045</v>
      </c>
      <c r="P277" s="168" t="s"/>
      <c r="Q277" s="171" t="s"/>
      <c r="R277" s="172" t="s"/>
      <c r="S277" s="172" t="s"/>
      <c r="T277" s="168" t="s"/>
      <c r="U277" s="168" t="s"/>
      <c r="V277" s="168" t="s"/>
      <c r="W277" s="168" t="s"/>
      <c r="X277" s="168" t="s"/>
      <c r="Y277" s="168" t="s"/>
      <c r="Z277" s="97" t="s"/>
      <c r="AA277" s="97" t="s"/>
      <c r="AB277" s="97" t="s"/>
      <c r="AC277" s="97" t="s"/>
      <c r="AD277" s="97" t="s"/>
      <c r="AE277" s="97" t="s"/>
      <c r="AF277" s="97" t="s"/>
      <c r="AG277" s="97" t="s"/>
      <c r="AH277" s="97" t="s"/>
      <c r="AI277" s="97" t="s"/>
      <c r="AJ277" s="97" t="s"/>
      <c r="AK277" s="97" t="s"/>
      <c r="AL277" s="97" t="s"/>
      <c r="AM277" s="97" t="s"/>
    </row>
    <row r="278" spans="1:39" s="432" customFormat="true">
      <c r="A278" s="97">
        <v>277</v>
      </c>
      <c r="B278" s="166" t="s">
        <v>1233</v>
      </c>
      <c r="C278" s="162">
        <v>46104.5032986111</v>
      </c>
      <c r="D278" s="167">
        <v>12</v>
      </c>
      <c r="E278" s="120">
        <v>46104</v>
      </c>
      <c r="F278" s="168" t="s">
        <v>228</v>
      </c>
      <c r="G278" s="179" t="s">
        <v>1234</v>
      </c>
      <c r="H278" s="96" t="s">
        <v>607</v>
      </c>
      <c r="I278" s="166" t="s">
        <v>609</v>
      </c>
      <c r="J278" s="97" t="s">
        <f>=_xlfn.TEXTJOIN("+",TRUE,_xlfn._xlws.FILTER(_xlfn.TEXTSPLIT(H278,,"+"),(_xlfn.TEXTSPLIT(H278,,"+")&lt;&gt;"埃米工具")*(_xlfn.TEXTSPLIT(H278,,"+")&lt;&gt;"埃米广告通")))</f>
        <v>607</v>
      </c>
      <c r="K278" s="109">
        <f>=EDATE(C278,D278)</f>
        <v>46469</v>
      </c>
      <c r="L278" s="168" t="s"/>
      <c r="M278" s="128" t="s"/>
      <c r="N278" s="96" t="s">
        <v>611</v>
      </c>
      <c r="O278" s="168" t="s">
        <v>1128</v>
      </c>
      <c r="P278" s="168" t="s"/>
      <c r="Q278" s="171" t="s"/>
      <c r="R278" s="172" t="s"/>
      <c r="S278" s="172" t="s"/>
      <c r="T278" s="168" t="s"/>
      <c r="U278" s="168" t="s"/>
      <c r="V278" s="168" t="s"/>
      <c r="W278" s="168" t="s"/>
      <c r="X278" s="168" t="s"/>
      <c r="Y278" s="168" t="s"/>
      <c r="Z278" s="97" t="s"/>
      <c r="AA278" s="97" t="s"/>
      <c r="AB278" s="97" t="s"/>
      <c r="AC278" s="97" t="s"/>
      <c r="AD278" s="97" t="s"/>
      <c r="AE278" s="97" t="s"/>
      <c r="AF278" s="97" t="s"/>
      <c r="AG278" s="97" t="s"/>
      <c r="AH278" s="97" t="s"/>
      <c r="AI278" s="97" t="s"/>
      <c r="AJ278" s="97" t="s"/>
      <c r="AK278" s="97" t="s"/>
      <c r="AL278" s="97" t="s"/>
      <c r="AM278" s="97" t="s"/>
    </row>
    <row r="279" spans="1:39" s="431" customFormat="true">
      <c r="A279" s="97">
        <v>278</v>
      </c>
      <c r="B279" s="166" t="s">
        <v>134</v>
      </c>
      <c r="C279" s="162">
        <v>46104.5993171296</v>
      </c>
      <c r="D279" s="167">
        <v>12</v>
      </c>
      <c r="E279" s="120">
        <v>46104</v>
      </c>
      <c r="F279" s="168" t="s">
        <v>215</v>
      </c>
      <c r="G279" s="168" t="s">
        <v>1235</v>
      </c>
      <c r="H279" s="96" t="s">
        <v>12</v>
      </c>
      <c r="I279" s="166" t="s">
        <v>609</v>
      </c>
      <c r="J279" s="97" t="s">
        <f>=_xlfn.TEXTJOIN("+",TRUE,_xlfn._xlws.FILTER(_xlfn.TEXTSPLIT(H279,,"+"),(_xlfn.TEXTSPLIT(H279,,"+")&lt;&gt;"埃米工具")*(_xlfn.TEXTSPLIT(H279,,"+")&lt;&gt;"埃米广告通")))</f>
        <v>12</v>
      </c>
      <c r="K279" s="109">
        <f>=EDATE(C279,D279)</f>
        <v>46469</v>
      </c>
      <c r="L279" s="191">
        <v>46106</v>
      </c>
      <c r="M279" s="102" t="s">
        <v>1236</v>
      </c>
      <c r="N279" s="96" t="s">
        <v>611</v>
      </c>
      <c r="O279" s="126" t="s">
        <v>1075</v>
      </c>
      <c r="P279" s="168" t="s"/>
      <c r="Q279" s="171" t="s"/>
      <c r="R279" s="172" t="s"/>
      <c r="S279" s="172" t="s"/>
      <c r="T279" s="168" t="s"/>
      <c r="U279" s="168" t="s"/>
      <c r="V279" s="168" t="s"/>
      <c r="W279" s="168" t="s"/>
      <c r="X279" s="168" t="s"/>
      <c r="Y279" s="168" t="s"/>
      <c r="Z279" s="97" t="s"/>
      <c r="AA279" s="97" t="s"/>
      <c r="AB279" s="97" t="s"/>
      <c r="AC279" s="97" t="s"/>
      <c r="AD279" s="97" t="s"/>
      <c r="AE279" s="97" t="s"/>
      <c r="AF279" s="97" t="s"/>
      <c r="AG279" s="97" t="s"/>
      <c r="AH279" s="97" t="s"/>
      <c r="AI279" s="97" t="s"/>
      <c r="AJ279" s="97" t="s"/>
      <c r="AK279" s="97" t="s"/>
      <c r="AL279" s="97" t="s"/>
      <c r="AM279" s="97" t="s"/>
    </row>
    <row r="280" spans="1:39" s="431" customFormat="true">
      <c r="A280" s="97">
        <v>279</v>
      </c>
      <c r="B280" s="166" t="s">
        <v>135</v>
      </c>
      <c r="C280" s="162">
        <v>46104.6213194445</v>
      </c>
      <c r="D280" s="167">
        <v>12</v>
      </c>
      <c r="E280" s="120">
        <v>46104</v>
      </c>
      <c r="F280" s="168" t="s">
        <v>228</v>
      </c>
      <c r="G280" s="168" t="s">
        <v>1237</v>
      </c>
      <c r="H280" s="96" t="s">
        <v>12</v>
      </c>
      <c r="I280" s="166" t="s">
        <v>646</v>
      </c>
      <c r="J280" s="97" t="s">
        <f>=_xlfn.TEXTJOIN("+",TRUE,_xlfn._xlws.FILTER(_xlfn.TEXTSPLIT(H280,,"+"),(_xlfn.TEXTSPLIT(H280,,"+")&lt;&gt;"埃米工具")*(_xlfn.TEXTSPLIT(H280,,"+")&lt;&gt;"埃米广告通")))</f>
        <v>12</v>
      </c>
      <c r="K280" s="109">
        <f>=EDATE(C280,D280)</f>
        <v>46469</v>
      </c>
      <c r="L280" s="191">
        <v>46106</v>
      </c>
      <c r="M280" s="194" t="s">
        <v>1238</v>
      </c>
      <c r="N280" s="96" t="s">
        <v>611</v>
      </c>
      <c r="O280" s="168" t="s">
        <v>1128</v>
      </c>
      <c r="P280" s="168" t="s">
        <v>1217</v>
      </c>
      <c r="Q280" s="171" t="s"/>
      <c r="R280" s="172" t="s"/>
      <c r="S280" s="172" t="s"/>
      <c r="T280" s="168" t="s"/>
      <c r="U280" s="168" t="s"/>
      <c r="V280" s="168" t="s"/>
      <c r="W280" s="168" t="s"/>
      <c r="X280" s="168" t="s"/>
      <c r="Y280" s="168" t="s"/>
      <c r="Z280" s="97" t="s"/>
      <c r="AA280" s="97" t="s"/>
      <c r="AB280" s="97" t="s"/>
      <c r="AC280" s="97" t="s"/>
      <c r="AD280" s="97" t="s"/>
      <c r="AE280" s="97" t="s"/>
      <c r="AF280" s="97" t="s"/>
      <c r="AG280" s="97" t="s"/>
      <c r="AH280" s="97" t="s"/>
      <c r="AI280" s="97" t="s"/>
      <c r="AJ280" s="97" t="s"/>
      <c r="AK280" s="97" t="s"/>
      <c r="AL280" s="97" t="s"/>
      <c r="AM280" s="97" t="s"/>
    </row>
    <row r="281" spans="1:39" s="431" customFormat="true">
      <c r="A281" s="97">
        <v>280</v>
      </c>
      <c r="B281" s="166" t="s">
        <v>136</v>
      </c>
      <c r="C281" s="162">
        <v>46104.6737847222</v>
      </c>
      <c r="D281" s="167">
        <v>12</v>
      </c>
      <c r="E281" s="120">
        <v>46104</v>
      </c>
      <c r="F281" s="168" t="s">
        <v>215</v>
      </c>
      <c r="G281" s="168" t="s">
        <v>1239</v>
      </c>
      <c r="H281" s="96" t="s">
        <v>12</v>
      </c>
      <c r="I281" s="166" t="s">
        <v>609</v>
      </c>
      <c r="J281" s="97" t="s">
        <f>=_xlfn.TEXTJOIN("+",TRUE,_xlfn._xlws.FILTER(_xlfn.TEXTSPLIT(H281,,"+"),(_xlfn.TEXTSPLIT(H281,,"+")&lt;&gt;"埃米工具")*(_xlfn.TEXTSPLIT(H281,,"+")&lt;&gt;"埃米广告通")))</f>
        <v>12</v>
      </c>
      <c r="K281" s="109">
        <f>=EDATE(C281,D281)</f>
        <v>46469</v>
      </c>
      <c r="L281" s="191">
        <v>46105</v>
      </c>
      <c r="M281" s="128" t="s">
        <v>1240</v>
      </c>
      <c r="N281" s="96" t="s">
        <v>611</v>
      </c>
      <c r="O281" s="126" t="s">
        <v>1136</v>
      </c>
      <c r="P281" s="168" t="s"/>
      <c r="Q281" s="171" t="s"/>
      <c r="R281" s="172" t="s"/>
      <c r="S281" s="172" t="s"/>
      <c r="T281" s="168" t="s"/>
      <c r="U281" s="168" t="s"/>
      <c r="V281" s="168" t="s"/>
      <c r="W281" s="168" t="s"/>
      <c r="X281" s="168" t="s"/>
      <c r="Y281" s="168" t="s"/>
      <c r="Z281" s="97" t="s"/>
      <c r="AA281" s="97" t="s"/>
      <c r="AB281" s="97" t="s"/>
      <c r="AC281" s="97" t="s"/>
      <c r="AD281" s="97" t="s"/>
      <c r="AE281" s="97" t="s"/>
      <c r="AF281" s="97" t="s"/>
      <c r="AG281" s="97" t="s"/>
      <c r="AH281" s="97" t="s"/>
      <c r="AI281" s="97" t="s"/>
      <c r="AJ281" s="97" t="s"/>
      <c r="AK281" s="97" t="s"/>
      <c r="AL281" s="97" t="s"/>
      <c r="AM281" s="97" t="s"/>
    </row>
    <row r="282" spans="1:39" s="431" customFormat="true">
      <c r="A282" s="97">
        <v>281</v>
      </c>
      <c r="B282" s="166" t="s">
        <v>137</v>
      </c>
      <c r="C282" s="162">
        <v>46104.703125</v>
      </c>
      <c r="D282" s="167">
        <v>12</v>
      </c>
      <c r="E282" s="120">
        <v>46104</v>
      </c>
      <c r="F282" s="168" t="s">
        <v>236</v>
      </c>
      <c r="G282" s="179" t="s">
        <v>1241</v>
      </c>
      <c r="H282" s="96" t="s">
        <v>12</v>
      </c>
      <c r="I282" s="166" t="s">
        <v>609</v>
      </c>
      <c r="J282" s="97" t="s">
        <f>=_xlfn.TEXTJOIN("+",TRUE,_xlfn._xlws.FILTER(_xlfn.TEXTSPLIT(H282,,"+"),(_xlfn.TEXTSPLIT(H282,,"+")&lt;&gt;"埃米工具")*(_xlfn.TEXTSPLIT(H282,,"+")&lt;&gt;"埃米广告通")))</f>
        <v>12</v>
      </c>
      <c r="K282" s="109">
        <f>=EDATE(C282,D282)</f>
        <v>46469</v>
      </c>
      <c r="L282" s="168" t="s"/>
      <c r="M282" s="128" t="s"/>
      <c r="N282" s="96" t="s">
        <v>611</v>
      </c>
      <c r="O282" s="168" t="s">
        <v>1194</v>
      </c>
      <c r="P282" s="168" t="s"/>
      <c r="Q282" s="171" t="s"/>
      <c r="R282" s="172" t="s"/>
      <c r="S282" s="172" t="s"/>
      <c r="T282" s="168" t="s"/>
      <c r="U282" s="168" t="s"/>
      <c r="V282" s="168" t="s"/>
      <c r="W282" s="168" t="s"/>
      <c r="X282" s="168" t="s"/>
      <c r="Y282" s="168" t="s"/>
      <c r="Z282" s="109" t="s"/>
      <c r="AA282" s="97" t="s"/>
      <c r="AB282" s="97" t="s"/>
      <c r="AC282" s="97" t="s"/>
      <c r="AD282" s="97" t="s"/>
      <c r="AE282" s="97" t="s"/>
      <c r="AF282" s="97" t="s"/>
      <c r="AG282" s="97" t="s"/>
      <c r="AH282" s="97" t="s"/>
      <c r="AI282" s="97" t="s"/>
      <c r="AJ282" s="97" t="s"/>
      <c r="AK282" s="97" t="s"/>
      <c r="AL282" s="97" t="s"/>
      <c r="AM282" s="97" t="s"/>
    </row>
    <row r="283" spans="1:39" s="431" customFormat="true">
      <c r="A283" s="97">
        <v>282</v>
      </c>
      <c r="B283" s="198" t="s">
        <v>138</v>
      </c>
      <c r="C283" s="162">
        <v>46104.7310300926</v>
      </c>
      <c r="D283" s="167">
        <v>12</v>
      </c>
      <c r="E283" s="120">
        <v>46105</v>
      </c>
      <c r="F283" s="168" t="s">
        <v>224</v>
      </c>
      <c r="G283" s="179" t="s">
        <v>1242</v>
      </c>
      <c r="H283" s="96" t="s">
        <v>12</v>
      </c>
      <c r="I283" s="166" t="s">
        <v>609</v>
      </c>
      <c r="J283" s="97" t="s">
        <f>=_xlfn.TEXTJOIN("+",TRUE,_xlfn._xlws.FILTER(_xlfn.TEXTSPLIT(H283,,"+"),(_xlfn.TEXTSPLIT(H283,,"+")&lt;&gt;"埃米工具")*(_xlfn.TEXTSPLIT(H283,,"+")&lt;&gt;"埃米广告通")))</f>
        <v>12</v>
      </c>
      <c r="K283" s="109">
        <f>=EDATE(C283,D283)</f>
        <v>46469</v>
      </c>
      <c r="L283" s="191">
        <v>46104</v>
      </c>
      <c r="M283" s="128" t="s">
        <v>1243</v>
      </c>
      <c r="N283" s="96" t="s">
        <v>611</v>
      </c>
      <c r="O283" s="168" t="s">
        <v>1045</v>
      </c>
      <c r="P283" s="168" t="s">
        <v>1091</v>
      </c>
      <c r="Q283" s="196" t="s">
        <v>845</v>
      </c>
      <c r="R283" s="172" t="s"/>
      <c r="S283" s="172" t="s"/>
      <c r="T283" s="168" t="s"/>
      <c r="U283" s="168" t="s"/>
      <c r="V283" s="168" t="s"/>
      <c r="W283" s="168" t="s"/>
      <c r="X283" s="168" t="s"/>
      <c r="Y283" s="168" t="s"/>
      <c r="Z283" s="97" t="s"/>
      <c r="AA283" s="97" t="s"/>
      <c r="AB283" s="97" t="s"/>
      <c r="AC283" s="97" t="s"/>
      <c r="AD283" s="97" t="s"/>
      <c r="AE283" s="97" t="s"/>
      <c r="AF283" s="97" t="s"/>
      <c r="AG283" s="97" t="s"/>
      <c r="AH283" s="97" t="s"/>
      <c r="AI283" s="97" t="s"/>
      <c r="AJ283" s="97" t="s"/>
      <c r="AK283" s="97" t="s"/>
      <c r="AL283" s="97" t="s"/>
      <c r="AM283" s="97" t="s"/>
    </row>
    <row r="284" spans="1:39" s="431" customFormat="true">
      <c r="A284" s="97">
        <v>283</v>
      </c>
      <c r="B284" s="166" t="s">
        <v>369</v>
      </c>
      <c r="C284" s="162">
        <v>46105.3856712962</v>
      </c>
      <c r="D284" s="167">
        <v>12</v>
      </c>
      <c r="E284" s="120">
        <v>46105</v>
      </c>
      <c r="F284" s="168" t="s">
        <v>234</v>
      </c>
      <c r="G284" s="179" t="s">
        <v>1244</v>
      </c>
      <c r="H284" s="96" t="s">
        <v>607</v>
      </c>
      <c r="I284" s="166" t="s">
        <v>609</v>
      </c>
      <c r="J284" s="97" t="s"/>
      <c r="K284" s="109">
        <f>=EDATE(C284,D284)</f>
        <v>46470</v>
      </c>
      <c r="L284" s="168" t="s"/>
      <c r="M284" s="128" t="s"/>
      <c r="N284" s="96" t="s">
        <v>611</v>
      </c>
      <c r="O284" s="168" t="s">
        <v>1128</v>
      </c>
      <c r="P284" s="168" t="s"/>
      <c r="Q284" s="171" t="s"/>
      <c r="R284" s="172" t="s"/>
      <c r="S284" s="172" t="s"/>
      <c r="T284" s="168" t="s"/>
      <c r="U284" s="168" t="s"/>
      <c r="V284" s="168" t="s"/>
      <c r="W284" s="168" t="s"/>
      <c r="X284" s="168" t="s"/>
      <c r="Y284" s="168" t="s"/>
      <c r="Z284" s="97" t="s"/>
      <c r="AA284" s="97" t="s"/>
      <c r="AB284" s="97" t="s"/>
      <c r="AC284" s="97" t="s"/>
      <c r="AD284" s="97" t="s"/>
      <c r="AE284" s="97" t="s"/>
      <c r="AF284" s="97" t="s"/>
      <c r="AG284" s="97" t="s"/>
      <c r="AH284" s="97" t="s"/>
      <c r="AI284" s="97" t="s"/>
      <c r="AJ284" s="97" t="s"/>
      <c r="AK284" s="97" t="s"/>
      <c r="AL284" s="97" t="s"/>
      <c r="AM284" s="97" t="s"/>
    </row>
    <row r="285" spans="1:39" s="431" customFormat="true">
      <c r="A285" s="97">
        <v>284</v>
      </c>
      <c r="B285" s="166" t="s">
        <v>353</v>
      </c>
      <c r="C285" s="162">
        <v>46105.4925115741</v>
      </c>
      <c r="D285" s="167">
        <v>12</v>
      </c>
      <c r="E285" s="120">
        <v>46105</v>
      </c>
      <c r="F285" s="168" t="s">
        <v>228</v>
      </c>
      <c r="G285" s="168" t="s">
        <v>1245</v>
      </c>
      <c r="H285" s="96" t="s">
        <v>607</v>
      </c>
      <c r="I285" s="166" t="s">
        <v>609</v>
      </c>
      <c r="J285" s="97" t="s"/>
      <c r="K285" s="109">
        <f>=EDATE(C285,D285)</f>
        <v>46470</v>
      </c>
      <c r="L285" s="168" t="s"/>
      <c r="M285" s="128" t="s"/>
      <c r="N285" s="96" t="s">
        <v>611</v>
      </c>
      <c r="O285" s="168" t="s">
        <v>1128</v>
      </c>
      <c r="P285" s="168" t="s"/>
      <c r="Q285" s="171" t="s"/>
      <c r="R285" s="172" t="s"/>
      <c r="S285" s="172" t="s"/>
      <c r="T285" s="168" t="s"/>
      <c r="U285" s="168" t="s"/>
      <c r="V285" s="168" t="s"/>
      <c r="W285" s="168" t="s"/>
      <c r="X285" s="168" t="s"/>
      <c r="Y285" s="168" t="s"/>
      <c r="Z285" s="97" t="s"/>
      <c r="AA285" s="97" t="s"/>
      <c r="AB285" s="97" t="s"/>
      <c r="AC285" s="97" t="s"/>
      <c r="AD285" s="97" t="s"/>
      <c r="AE285" s="97" t="s"/>
      <c r="AF285" s="97" t="s"/>
      <c r="AG285" s="97" t="s"/>
      <c r="AH285" s="97" t="s"/>
      <c r="AI285" s="97" t="s"/>
      <c r="AJ285" s="97" t="s"/>
      <c r="AK285" s="97" t="s"/>
      <c r="AL285" s="97" t="s"/>
      <c r="AM285" s="97" t="s"/>
    </row>
    <row r="286" spans="1:39" s="431" customFormat="true">
      <c r="A286" s="97">
        <v>285</v>
      </c>
      <c r="B286" s="166" t="s">
        <v>139</v>
      </c>
      <c r="C286" s="162">
        <v>46105.6035069445</v>
      </c>
      <c r="D286" s="167">
        <v>12</v>
      </c>
      <c r="E286" s="120">
        <v>46105</v>
      </c>
      <c r="F286" s="168" t="s">
        <v>228</v>
      </c>
      <c r="G286" s="168" t="s">
        <v>1246</v>
      </c>
      <c r="H286" s="96" t="s">
        <v>12</v>
      </c>
      <c r="I286" s="166" t="s">
        <v>609</v>
      </c>
      <c r="J286" s="97" t="s">
        <f>=_xlfn.TEXTJOIN("+",TRUE,_xlfn._xlws.FILTER(_xlfn.TEXTSPLIT(H286,,"+"),(_xlfn.TEXTSPLIT(H286,,"+")&lt;&gt;"埃米工具")*(_xlfn.TEXTSPLIT(H286,,"+")&lt;&gt;"埃米广告通")))</f>
        <v>12</v>
      </c>
      <c r="K286" s="109">
        <f>=EDATE(C286,D286)</f>
        <v>46470</v>
      </c>
      <c r="L286" s="191">
        <v>46107</v>
      </c>
      <c r="M286" s="194" t="s">
        <v>1247</v>
      </c>
      <c r="N286" s="96" t="s">
        <v>611</v>
      </c>
      <c r="O286" s="168" t="s">
        <v>1248</v>
      </c>
      <c r="P286" s="168" t="s"/>
      <c r="Q286" s="171" t="s"/>
      <c r="R286" s="172" t="s"/>
      <c r="S286" s="172" t="s"/>
      <c r="T286" s="168" t="s"/>
      <c r="U286" s="168" t="s"/>
      <c r="V286" s="168" t="s"/>
      <c r="W286" s="168" t="s"/>
      <c r="X286" s="168" t="s"/>
      <c r="Y286" s="168" t="s"/>
      <c r="Z286" s="97" t="s"/>
      <c r="AA286" s="97" t="s"/>
      <c r="AB286" s="97" t="s"/>
      <c r="AC286" s="97" t="s"/>
      <c r="AD286" s="97" t="s"/>
      <c r="AE286" s="97" t="s"/>
      <c r="AF286" s="97" t="s"/>
      <c r="AG286" s="97" t="s"/>
      <c r="AH286" s="97" t="s"/>
      <c r="AI286" s="97" t="s"/>
      <c r="AJ286" s="97" t="s"/>
      <c r="AK286" s="97" t="s"/>
      <c r="AL286" s="97" t="s"/>
      <c r="AM286" s="97" t="s"/>
    </row>
    <row r="287" spans="1:39" s="431" customFormat="true">
      <c r="A287" s="97">
        <v>286</v>
      </c>
      <c r="B287" s="166" t="s">
        <v>140</v>
      </c>
      <c r="C287" s="162">
        <v>46105.6133796296</v>
      </c>
      <c r="D287" s="167">
        <v>12</v>
      </c>
      <c r="E287" s="120">
        <v>46105</v>
      </c>
      <c r="F287" s="168" t="s">
        <v>228</v>
      </c>
      <c r="G287" s="168" t="s">
        <v>1249</v>
      </c>
      <c r="H287" s="96" t="s">
        <v>12</v>
      </c>
      <c r="I287" s="166" t="s">
        <v>609</v>
      </c>
      <c r="J287" s="97" t="s">
        <f>=_xlfn.TEXTJOIN("+",TRUE,_xlfn._xlws.FILTER(_xlfn.TEXTSPLIT(H287,,"+"),(_xlfn.TEXTSPLIT(H287,,"+")&lt;&gt;"埃米工具")*(_xlfn.TEXTSPLIT(H287,,"+")&lt;&gt;"埃米广告通")))</f>
        <v>12</v>
      </c>
      <c r="K287" s="109">
        <f>=EDATE(C287,D287)</f>
        <v>46470</v>
      </c>
      <c r="L287" s="191">
        <v>46106</v>
      </c>
      <c r="M287" s="175" t="s">
        <v>1250</v>
      </c>
      <c r="N287" s="96" t="s">
        <v>611</v>
      </c>
      <c r="O287" s="168" t="s">
        <v>1128</v>
      </c>
      <c r="P287" s="168" t="s"/>
      <c r="Q287" s="171" t="s"/>
      <c r="R287" s="172" t="s"/>
      <c r="S287" s="172" t="s"/>
      <c r="T287" s="168" t="s"/>
      <c r="U287" s="168" t="s"/>
      <c r="V287" s="168" t="s"/>
      <c r="W287" s="168" t="s"/>
      <c r="X287" s="168" t="s"/>
      <c r="Y287" s="168" t="s"/>
      <c r="Z287" s="97" t="s"/>
      <c r="AA287" s="97" t="s"/>
      <c r="AB287" s="97" t="s"/>
      <c r="AC287" s="97" t="s"/>
      <c r="AD287" s="97" t="s"/>
      <c r="AE287" s="97" t="s"/>
      <c r="AF287" s="97" t="s"/>
      <c r="AG287" s="97" t="s"/>
      <c r="AH287" s="97" t="s"/>
      <c r="AI287" s="97" t="s"/>
      <c r="AJ287" s="97" t="s"/>
      <c r="AK287" s="97" t="s"/>
      <c r="AL287" s="97" t="s"/>
      <c r="AM287" s="97" t="s"/>
    </row>
    <row r="288" spans="1:39" s="429" customFormat="true">
      <c r="A288" s="97">
        <v>287</v>
      </c>
      <c r="B288" s="166" t="s">
        <v>361</v>
      </c>
      <c r="C288" s="162">
        <v>46105.6931944444</v>
      </c>
      <c r="D288" s="167">
        <v>12</v>
      </c>
      <c r="E288" s="120">
        <v>46105</v>
      </c>
      <c r="F288" s="168" t="s">
        <v>228</v>
      </c>
      <c r="G288" s="168" t="s">
        <v>1251</v>
      </c>
      <c r="H288" s="96" t="s">
        <v>607</v>
      </c>
      <c r="I288" s="166" t="s">
        <v>609</v>
      </c>
      <c r="J288" s="97" t="s"/>
      <c r="K288" s="109">
        <f>=EDATE(C288,D288)</f>
        <v>46470</v>
      </c>
      <c r="L288" s="168" t="s"/>
      <c r="M288" s="128" t="s"/>
      <c r="N288" s="96" t="s">
        <v>611</v>
      </c>
      <c r="O288" s="168" t="s">
        <v>1128</v>
      </c>
      <c r="P288" s="168" t="s"/>
      <c r="Q288" s="171" t="s"/>
      <c r="R288" s="172" t="s"/>
      <c r="S288" s="172" t="s"/>
      <c r="T288" s="168" t="s"/>
      <c r="U288" s="168" t="s"/>
      <c r="V288" s="168" t="s"/>
      <c r="W288" s="168" t="s"/>
      <c r="X288" s="168" t="s"/>
      <c r="Y288" s="168" t="s"/>
      <c r="Z288" s="97" t="s"/>
      <c r="AA288" s="97" t="s"/>
      <c r="AB288" s="97" t="s"/>
      <c r="AC288" s="97" t="s"/>
      <c r="AD288" s="97" t="s"/>
      <c r="AE288" s="97" t="s"/>
      <c r="AF288" s="97" t="s"/>
      <c r="AG288" s="97" t="s"/>
      <c r="AH288" s="97" t="s"/>
      <c r="AI288" s="97" t="s"/>
      <c r="AJ288" s="97" t="s"/>
      <c r="AK288" s="97" t="s"/>
      <c r="AL288" s="97" t="s"/>
      <c r="AM288" s="97" t="s"/>
    </row>
    <row r="289" spans="1:39" s="429" customFormat="true">
      <c r="A289" s="97">
        <v>288</v>
      </c>
      <c r="B289" s="166" t="s">
        <v>141</v>
      </c>
      <c r="C289" s="162">
        <v>46105.8296759259</v>
      </c>
      <c r="D289" s="167">
        <v>12</v>
      </c>
      <c r="E289" s="120">
        <v>46106</v>
      </c>
      <c r="F289" s="168" t="s">
        <v>228</v>
      </c>
      <c r="G289" s="168" t="s">
        <v>1252</v>
      </c>
      <c r="H289" s="96" t="s">
        <v>12</v>
      </c>
      <c r="I289" s="166" t="s">
        <v>609</v>
      </c>
      <c r="J289" s="97" t="s">
        <f>=_xlfn.TEXTJOIN("+",TRUE,_xlfn._xlws.FILTER(_xlfn.TEXTSPLIT(H289,,"+"),(_xlfn.TEXTSPLIT(H289,,"+")&lt;&gt;"埃米工具")*(_xlfn.TEXTSPLIT(H289,,"+")&lt;&gt;"埃米广告通")))</f>
        <v>12</v>
      </c>
      <c r="K289" s="109">
        <f>=EDATE(C289,D289)</f>
        <v>46470</v>
      </c>
      <c r="L289" s="191">
        <v>46106</v>
      </c>
      <c r="M289" s="194" t="s">
        <v>953</v>
      </c>
      <c r="N289" s="96" t="s">
        <v>611</v>
      </c>
      <c r="O289" s="168" t="s">
        <v>1248</v>
      </c>
      <c r="P289" s="168" t="s"/>
      <c r="Q289" s="171" t="s"/>
      <c r="R289" s="172" t="s"/>
      <c r="S289" s="172" t="s"/>
      <c r="T289" s="168" t="s"/>
      <c r="U289" s="168" t="s"/>
      <c r="V289" s="168" t="s"/>
      <c r="W289" s="168" t="s"/>
      <c r="X289" s="168" t="s"/>
      <c r="Y289" s="168" t="s"/>
      <c r="Z289" s="97" t="s"/>
      <c r="AA289" s="97" t="s"/>
      <c r="AB289" s="97" t="s"/>
      <c r="AC289" s="97" t="s"/>
      <c r="AD289" s="97" t="s"/>
      <c r="AE289" s="97" t="s"/>
      <c r="AF289" s="97" t="s"/>
      <c r="AG289" s="97" t="s"/>
      <c r="AH289" s="97" t="s"/>
      <c r="AI289" s="97" t="s"/>
      <c r="AJ289" s="97" t="s"/>
      <c r="AK289" s="97" t="s"/>
      <c r="AL289" s="97" t="s"/>
      <c r="AM289" s="97" t="s"/>
    </row>
    <row r="290" spans="1:39" s="429" customFormat="true">
      <c r="A290" s="97">
        <v>289</v>
      </c>
      <c r="B290" s="166" t="s">
        <v>367</v>
      </c>
      <c r="C290" s="162">
        <v>46105.7400347222</v>
      </c>
      <c r="D290" s="167">
        <v>12</v>
      </c>
      <c r="E290" s="120">
        <v>46106</v>
      </c>
      <c r="F290" s="168" t="s">
        <v>228</v>
      </c>
      <c r="G290" s="168" t="s">
        <v>1253</v>
      </c>
      <c r="H290" s="96" t="s">
        <v>607</v>
      </c>
      <c r="I290" s="166" t="s">
        <v>609</v>
      </c>
      <c r="J290" s="97" t="s">
        <f>=_xlfn.TEXTJOIN("+",TRUE,_xlfn._xlws.FILTER(_xlfn.TEXTSPLIT(H290,,"+"),(_xlfn.TEXTSPLIT(H290,,"+")&lt;&gt;"埃米工具")*(_xlfn.TEXTSPLIT(H290,,"+")&lt;&gt;"埃米广告通")))</f>
        <v>607</v>
      </c>
      <c r="K290" s="109">
        <f>=EDATE(C290,D290)</f>
        <v>46470</v>
      </c>
      <c r="L290" s="168" t="s"/>
      <c r="M290" s="128" t="s"/>
      <c r="N290" s="96" t="s">
        <v>611</v>
      </c>
      <c r="O290" s="168" t="s">
        <v>1128</v>
      </c>
      <c r="P290" s="168" t="s"/>
      <c r="Q290" s="171" t="s">
        <v>791</v>
      </c>
      <c r="R290" s="172" t="s"/>
      <c r="S290" s="172" t="s"/>
      <c r="T290" s="168" t="s"/>
      <c r="U290" s="168" t="s"/>
      <c r="V290" s="168" t="s"/>
      <c r="W290" s="168" t="s"/>
      <c r="X290" s="168" t="s"/>
      <c r="Y290" s="168" t="s"/>
      <c r="Z290" s="97" t="s"/>
      <c r="AA290" s="97" t="s"/>
      <c r="AB290" s="97" t="s"/>
      <c r="AC290" s="97" t="s"/>
      <c r="AD290" s="97" t="s"/>
      <c r="AE290" s="97" t="s"/>
      <c r="AF290" s="97" t="s"/>
      <c r="AG290" s="97" t="s"/>
      <c r="AH290" s="97" t="s"/>
      <c r="AI290" s="97" t="s"/>
      <c r="AJ290" s="97" t="s"/>
      <c r="AK290" s="97" t="s"/>
      <c r="AL290" s="97" t="s"/>
      <c r="AM290" s="97" t="s"/>
    </row>
    <row r="291" spans="1:39" s="429" customFormat="true">
      <c r="A291" s="97">
        <v>290</v>
      </c>
      <c r="B291" s="166" t="s">
        <v>365</v>
      </c>
      <c r="C291" s="162">
        <v>46105.7295370371</v>
      </c>
      <c r="D291" s="167">
        <v>24</v>
      </c>
      <c r="E291" s="120">
        <v>46106</v>
      </c>
      <c r="F291" s="168" t="s">
        <v>224</v>
      </c>
      <c r="G291" s="168" t="s">
        <v>1254</v>
      </c>
      <c r="H291" s="96" t="s">
        <v>607</v>
      </c>
      <c r="I291" s="166" t="s">
        <v>609</v>
      </c>
      <c r="J291" s="97" t="s">
        <f>=_xlfn.TEXTJOIN("+",TRUE,_xlfn._xlws.FILTER(_xlfn.TEXTSPLIT(H291,,"+"),(_xlfn.TEXTSPLIT(H291,,"+")&lt;&gt;"埃米工具")*(_xlfn.TEXTSPLIT(H291,,"+")&lt;&gt;"埃米广告通")))</f>
        <v>607</v>
      </c>
      <c r="K291" s="109">
        <f>=EDATE(C291,D291)</f>
        <v>46836</v>
      </c>
      <c r="L291" s="168" t="s"/>
      <c r="M291" s="128" t="s"/>
      <c r="N291" s="96" t="s">
        <v>611</v>
      </c>
      <c r="O291" s="168" t="s">
        <v>1082</v>
      </c>
      <c r="P291" s="168" t="s"/>
      <c r="Q291" s="171" t="s"/>
      <c r="R291" s="172" t="s"/>
      <c r="S291" s="172" t="s"/>
      <c r="T291" s="168" t="s"/>
      <c r="U291" s="168" t="s"/>
      <c r="V291" s="168" t="s"/>
      <c r="W291" s="168" t="s"/>
      <c r="X291" s="168" t="s"/>
      <c r="Y291" s="168" t="s"/>
      <c r="Z291" s="97" t="s"/>
      <c r="AA291" s="97" t="s"/>
      <c r="AB291" s="97" t="s"/>
      <c r="AC291" s="97" t="s"/>
      <c r="AD291" s="97" t="s"/>
      <c r="AE291" s="97" t="s"/>
      <c r="AF291" s="97" t="s"/>
      <c r="AG291" s="97" t="s"/>
      <c r="AH291" s="97" t="s"/>
      <c r="AI291" s="97" t="s"/>
      <c r="AJ291" s="97" t="s"/>
      <c r="AK291" s="97" t="s"/>
      <c r="AL291" s="97" t="s"/>
      <c r="AM291" s="97" t="s"/>
    </row>
    <row r="292" spans="1:39" s="429" customFormat="true">
      <c r="A292" s="97">
        <v>291</v>
      </c>
      <c r="B292" s="166" t="s">
        <v>1255</v>
      </c>
      <c r="C292" s="162">
        <v>46106.3667708333</v>
      </c>
      <c r="D292" s="167">
        <v>12</v>
      </c>
      <c r="E292" s="120">
        <v>46106</v>
      </c>
      <c r="F292" s="168" t="s">
        <v>236</v>
      </c>
      <c r="G292" s="168" t="s">
        <v>1256</v>
      </c>
      <c r="H292" s="96" t="s">
        <v>607</v>
      </c>
      <c r="I292" s="166" t="s">
        <v>609</v>
      </c>
      <c r="J292" s="97" t="s">
        <f>=_xlfn.TEXTJOIN("+",TRUE,_xlfn._xlws.FILTER(_xlfn.TEXTSPLIT(H292,,"+"),(_xlfn.TEXTSPLIT(H292,,"+")&lt;&gt;"埃米工具")*(_xlfn.TEXTSPLIT(H292,,"+")&lt;&gt;"埃米广告通")))</f>
        <v>607</v>
      </c>
      <c r="K292" s="109">
        <f>=EDATE(C292,D292)</f>
        <v>46471</v>
      </c>
      <c r="L292" s="168" t="s"/>
      <c r="M292" s="128" t="s"/>
      <c r="N292" s="96" t="s">
        <v>611</v>
      </c>
      <c r="O292" s="168" t="s">
        <v>1229</v>
      </c>
      <c r="P292" s="168" t="s"/>
      <c r="Q292" s="171" t="s"/>
      <c r="R292" s="199" t="s"/>
      <c r="S292" s="199" t="s"/>
      <c r="T292" s="199" t="s"/>
      <c r="U292" s="199" t="s"/>
      <c r="V292" s="199" t="s"/>
      <c r="W292" s="199" t="s"/>
      <c r="X292" s="199" t="s"/>
      <c r="Y292" s="199" t="s"/>
      <c r="Z292" s="109" t="s"/>
      <c r="AA292" s="200" t="s"/>
      <c r="AB292" s="200" t="s"/>
      <c r="AC292" s="200" t="s"/>
      <c r="AD292" s="200" t="s"/>
      <c r="AE292" s="200" t="s"/>
      <c r="AF292" s="200" t="s"/>
      <c r="AG292" s="200" t="s"/>
      <c r="AH292" s="200" t="s"/>
      <c r="AI292" s="200" t="s"/>
      <c r="AJ292" s="200" t="s"/>
      <c r="AK292" s="200" t="s"/>
      <c r="AL292" s="200" t="s"/>
      <c r="AM292" s="200" t="s"/>
    </row>
    <row r="293" spans="1:39" s="431" customFormat="true">
      <c r="A293" s="97">
        <v>292</v>
      </c>
      <c r="B293" s="166" t="s">
        <v>142</v>
      </c>
      <c r="C293" s="162">
        <v>46106.5915046296</v>
      </c>
      <c r="D293" s="167">
        <v>12</v>
      </c>
      <c r="E293" s="120">
        <v>46106</v>
      </c>
      <c r="F293" s="168" t="s">
        <v>228</v>
      </c>
      <c r="G293" s="168" t="s">
        <v>1257</v>
      </c>
      <c r="H293" s="96" t="s">
        <v>12</v>
      </c>
      <c r="I293" s="166" t="s">
        <v>609</v>
      </c>
      <c r="J293" s="97" t="s">
        <f>=_xlfn.TEXTJOIN("+",TRUE,_xlfn._xlws.FILTER(_xlfn.TEXTSPLIT(H293,,"+"),(_xlfn.TEXTSPLIT(H293,,"+")&lt;&gt;"埃米工具")*(_xlfn.TEXTSPLIT(H293,,"+")&lt;&gt;"埃米广告通")))</f>
        <v>12</v>
      </c>
      <c r="K293" s="109">
        <f>=EDATE(C293,D293)</f>
        <v>46471</v>
      </c>
      <c r="L293" s="191">
        <v>46114</v>
      </c>
      <c r="M293" s="175" t="s">
        <v>953</v>
      </c>
      <c r="N293" s="96" t="s">
        <v>611</v>
      </c>
      <c r="O293" s="168" t="s">
        <v>1258</v>
      </c>
      <c r="P293" s="168" t="s"/>
      <c r="Q293" s="196" t="s">
        <v>845</v>
      </c>
      <c r="R293" s="199" t="s"/>
      <c r="S293" s="199" t="s"/>
      <c r="T293" s="199" t="s"/>
      <c r="U293" s="199" t="s"/>
      <c r="V293" s="199" t="s"/>
      <c r="W293" s="199" t="s"/>
      <c r="X293" s="199" t="s"/>
      <c r="Y293" s="199" t="s"/>
      <c r="Z293" s="109" t="s"/>
      <c r="AA293" s="200" t="s"/>
      <c r="AB293" s="200" t="s"/>
      <c r="AC293" s="200" t="s"/>
      <c r="AD293" s="200" t="s"/>
      <c r="AE293" s="200" t="s"/>
      <c r="AF293" s="200" t="s"/>
      <c r="AG293" s="200" t="s"/>
      <c r="AH293" s="200" t="s"/>
      <c r="AI293" s="200" t="s"/>
      <c r="AJ293" s="200" t="s"/>
      <c r="AK293" s="200" t="s"/>
      <c r="AL293" s="200" t="s"/>
      <c r="AM293" s="200" t="s"/>
    </row>
    <row r="294" spans="1:39" s="431" customFormat="true">
      <c r="A294" s="97">
        <v>293</v>
      </c>
      <c r="B294" s="201" t="s">
        <v>143</v>
      </c>
      <c r="C294" s="174">
        <v>46106.7298611111</v>
      </c>
      <c r="D294" s="167">
        <v>12</v>
      </c>
      <c r="E294" s="120">
        <v>46107</v>
      </c>
      <c r="F294" s="168" t="s">
        <v>228</v>
      </c>
      <c r="G294" s="175" t="s">
        <v>1259</v>
      </c>
      <c r="H294" s="96" t="s">
        <v>12</v>
      </c>
      <c r="I294" s="166" t="s">
        <v>609</v>
      </c>
      <c r="J294" s="97" t="s">
        <f>=_xlfn.TEXTJOIN("+",TRUE,_xlfn._xlws.FILTER(_xlfn.TEXTSPLIT(H294,,"+"),(_xlfn.TEXTSPLIT(H294,,"+")&lt;&gt;"埃米工具")*(_xlfn.TEXTSPLIT(H294,,"+")&lt;&gt;"埃米广告通")))</f>
        <v>12</v>
      </c>
      <c r="K294" s="109">
        <f>=EDATE(C294,D294)</f>
        <v>46471</v>
      </c>
      <c r="L294" s="191">
        <v>46125</v>
      </c>
      <c r="M294" s="128" t="s">
        <v>818</v>
      </c>
      <c r="N294" s="96" t="s">
        <v>611</v>
      </c>
      <c r="O294" s="168" t="s"/>
      <c r="P294" s="195" t="s"/>
      <c r="Q294" s="171" t="s"/>
      <c r="R294" s="199" t="s"/>
      <c r="S294" s="199" t="s"/>
      <c r="T294" s="199" t="s"/>
      <c r="U294" s="199" t="s"/>
      <c r="V294" s="199" t="s"/>
      <c r="W294" s="199" t="s"/>
      <c r="X294" s="199" t="s"/>
      <c r="Y294" s="199" t="s"/>
      <c r="Z294" s="109" t="s"/>
      <c r="AA294" s="200" t="s"/>
      <c r="AB294" s="200" t="s"/>
      <c r="AC294" s="200" t="s"/>
      <c r="AD294" s="200" t="s"/>
      <c r="AE294" s="200" t="s"/>
      <c r="AF294" s="200" t="s"/>
      <c r="AG294" s="200" t="s"/>
      <c r="AH294" s="200" t="s"/>
      <c r="AI294" s="200" t="s"/>
      <c r="AJ294" s="200" t="s"/>
      <c r="AK294" s="200" t="s"/>
      <c r="AL294" s="200" t="s"/>
      <c r="AM294" s="200" t="s"/>
    </row>
    <row r="295" spans="1:39" s="431" customFormat="true">
      <c r="A295" s="97">
        <v>294</v>
      </c>
      <c r="B295" s="175" t="s">
        <v>459</v>
      </c>
      <c r="C295" s="174">
        <v>46106.6895833333</v>
      </c>
      <c r="D295" s="167">
        <v>12</v>
      </c>
      <c r="E295" s="120">
        <v>46107</v>
      </c>
      <c r="F295" s="168" t="s">
        <v>224</v>
      </c>
      <c r="G295" s="175" t="s">
        <v>1260</v>
      </c>
      <c r="H295" s="96" t="s">
        <v>607</v>
      </c>
      <c r="I295" s="166" t="s">
        <v>609</v>
      </c>
      <c r="J295" s="97" t="s">
        <f>=_xlfn.TEXTJOIN("+",TRUE,_xlfn._xlws.FILTER(_xlfn.TEXTSPLIT(H295,,"+"),(_xlfn.TEXTSPLIT(H295,,"+")&lt;&gt;"埃米工具")*(_xlfn.TEXTSPLIT(H295,,"+")&lt;&gt;"埃米广告通")))</f>
        <v>607</v>
      </c>
      <c r="K295" s="109">
        <f>=EDATE(C295,D295)</f>
        <v>46471</v>
      </c>
      <c r="L295" s="168" t="s"/>
      <c r="M295" s="128" t="s"/>
      <c r="N295" s="96" t="s">
        <v>611</v>
      </c>
      <c r="O295" s="168" t="s">
        <v>1149</v>
      </c>
      <c r="P295" s="168" t="s">
        <v>1091</v>
      </c>
      <c r="Q295" s="171" t="s"/>
      <c r="R295" s="199" t="s"/>
      <c r="S295" s="199" t="s"/>
      <c r="T295" s="199" t="s"/>
      <c r="U295" s="199" t="s"/>
      <c r="V295" s="199" t="s"/>
      <c r="W295" s="199" t="s"/>
      <c r="X295" s="199" t="s"/>
      <c r="Y295" s="199" t="s"/>
      <c r="Z295" s="200" t="s"/>
      <c r="AA295" s="200" t="s"/>
      <c r="AB295" s="200" t="s"/>
      <c r="AC295" s="200" t="s"/>
      <c r="AD295" s="200" t="s"/>
      <c r="AE295" s="200" t="s"/>
      <c r="AF295" s="200" t="s"/>
      <c r="AG295" s="200" t="s"/>
      <c r="AH295" s="200" t="s"/>
      <c r="AI295" s="200" t="s"/>
      <c r="AJ295" s="200" t="s"/>
      <c r="AK295" s="200" t="s"/>
      <c r="AL295" s="200" t="s"/>
      <c r="AM295" s="200" t="s"/>
    </row>
    <row r="296" spans="1:39" s="431" customFormat="true">
      <c r="A296" s="97">
        <v>295</v>
      </c>
      <c r="B296" s="175" t="s">
        <v>552</v>
      </c>
      <c r="C296" s="174">
        <v>46106.675</v>
      </c>
      <c r="D296" s="167">
        <v>12</v>
      </c>
      <c r="E296" s="120">
        <v>46107</v>
      </c>
      <c r="F296" s="168" t="s">
        <v>234</v>
      </c>
      <c r="G296" s="175" t="s">
        <v>553</v>
      </c>
      <c r="H296" s="96" t="s">
        <v>607</v>
      </c>
      <c r="I296" s="166" t="s">
        <v>609</v>
      </c>
      <c r="J296" s="97" t="s">
        <f>=_xlfn.TEXTJOIN("+",TRUE,_xlfn._xlws.FILTER(_xlfn.TEXTSPLIT(H296,,"+"),(_xlfn.TEXTSPLIT(H296,,"+")&lt;&gt;"埃米工具")*(_xlfn.TEXTSPLIT(H296,,"+")&lt;&gt;"埃米广告通")))</f>
        <v>607</v>
      </c>
      <c r="K296" s="109">
        <f>=EDATE(C296,D296)</f>
        <v>46471</v>
      </c>
      <c r="L296" s="168" t="s"/>
      <c r="M296" s="128" t="s"/>
      <c r="N296" s="96" t="s">
        <v>611</v>
      </c>
      <c r="O296" s="168" t="s"/>
      <c r="P296" s="168" t="s">
        <v>1261</v>
      </c>
      <c r="Q296" s="171" t="s"/>
      <c r="R296" s="199" t="s"/>
      <c r="S296" s="199" t="s"/>
      <c r="T296" s="199" t="s"/>
      <c r="U296" s="199" t="s"/>
      <c r="V296" s="199" t="s"/>
      <c r="W296" s="199" t="s"/>
      <c r="X296" s="199" t="s"/>
      <c r="Y296" s="199" t="s"/>
      <c r="Z296" s="109" t="s"/>
      <c r="AA296" s="200" t="s"/>
      <c r="AB296" s="200" t="s"/>
      <c r="AC296" s="200" t="s"/>
      <c r="AD296" s="200" t="s"/>
      <c r="AE296" s="200" t="s"/>
      <c r="AF296" s="200" t="s"/>
      <c r="AG296" s="200" t="s"/>
      <c r="AH296" s="200" t="s"/>
      <c r="AI296" s="200" t="s"/>
      <c r="AJ296" s="200" t="s"/>
      <c r="AK296" s="200" t="s"/>
      <c r="AL296" s="200" t="s"/>
      <c r="AM296" s="200" t="s"/>
    </row>
    <row r="297" spans="1:39" s="431" customFormat="true">
      <c r="A297" s="97">
        <v>296</v>
      </c>
      <c r="B297" s="175" t="s">
        <v>1262</v>
      </c>
      <c r="C297" s="174">
        <v>46106.5583333333</v>
      </c>
      <c r="D297" s="167">
        <v>12</v>
      </c>
      <c r="E297" s="120">
        <v>46107</v>
      </c>
      <c r="F297" s="168" t="s">
        <v>228</v>
      </c>
      <c r="G297" s="175" t="s">
        <v>1263</v>
      </c>
      <c r="H297" s="96" t="s">
        <v>607</v>
      </c>
      <c r="I297" s="166" t="s">
        <v>609</v>
      </c>
      <c r="J297" s="97" t="s">
        <f>=_xlfn.TEXTJOIN("+",TRUE,_xlfn._xlws.FILTER(_xlfn.TEXTSPLIT(H297,,"+"),(_xlfn.TEXTSPLIT(H297,,"+")&lt;&gt;"埃米工具")*(_xlfn.TEXTSPLIT(H297,,"+")&lt;&gt;"埃米广告通")))</f>
        <v>607</v>
      </c>
      <c r="K297" s="109">
        <f>=EDATE(C297,D297)</f>
        <v>46471</v>
      </c>
      <c r="L297" s="168" t="s"/>
      <c r="M297" s="128" t="s"/>
      <c r="N297" s="96" t="s">
        <v>611</v>
      </c>
      <c r="O297" s="168" t="s">
        <v>1264</v>
      </c>
      <c r="P297" s="168" t="s"/>
      <c r="Q297" s="171" t="s"/>
      <c r="R297" s="199" t="s"/>
      <c r="S297" s="199" t="s"/>
      <c r="T297" s="199" t="s"/>
      <c r="U297" s="199" t="s"/>
      <c r="V297" s="199" t="s"/>
      <c r="W297" s="199" t="s"/>
      <c r="X297" s="199" t="s"/>
      <c r="Y297" s="199" t="s"/>
      <c r="Z297" s="109" t="s"/>
      <c r="AA297" s="200" t="s"/>
      <c r="AB297" s="200" t="s"/>
      <c r="AC297" s="200" t="s"/>
      <c r="AD297" s="200" t="s"/>
      <c r="AE297" s="200" t="s"/>
      <c r="AF297" s="200" t="s"/>
      <c r="AG297" s="200" t="s"/>
      <c r="AH297" s="200" t="s"/>
      <c r="AI297" s="200" t="s"/>
      <c r="AJ297" s="200" t="s"/>
      <c r="AK297" s="200" t="s"/>
      <c r="AL297" s="200" t="s"/>
      <c r="AM297" s="200" t="s"/>
    </row>
    <row r="298" spans="1:39" s="431" customFormat="true">
      <c r="A298" s="97">
        <v>297</v>
      </c>
      <c r="B298" s="175" t="s">
        <v>144</v>
      </c>
      <c r="C298" s="174">
        <v>46106.4520833333</v>
      </c>
      <c r="D298" s="167">
        <v>12</v>
      </c>
      <c r="E298" s="120">
        <v>46107</v>
      </c>
      <c r="F298" s="168" t="s">
        <v>228</v>
      </c>
      <c r="G298" s="175" t="s">
        <v>1265</v>
      </c>
      <c r="H298" s="96" t="s">
        <v>12</v>
      </c>
      <c r="I298" s="166" t="s">
        <v>609</v>
      </c>
      <c r="J298" s="97" t="s">
        <f>=_xlfn.TEXTJOIN("+",TRUE,_xlfn._xlws.FILTER(_xlfn.TEXTSPLIT(H298,,"+"),(_xlfn.TEXTSPLIT(H298,,"+")&lt;&gt;"埃米工具")*(_xlfn.TEXTSPLIT(H298,,"+")&lt;&gt;"埃米广告通")))</f>
        <v>12</v>
      </c>
      <c r="K298" s="109">
        <f>=EDATE(C298,D298)</f>
        <v>46471</v>
      </c>
      <c r="L298" s="191">
        <v>46111</v>
      </c>
      <c r="M298" s="175" t="s">
        <v>1266</v>
      </c>
      <c r="N298" s="96" t="s">
        <v>611</v>
      </c>
      <c r="O298" s="168" t="s">
        <v>1267</v>
      </c>
      <c r="P298" s="168" t="s">
        <v>1268</v>
      </c>
      <c r="Q298" s="171" t="s"/>
      <c r="R298" s="199" t="s"/>
      <c r="S298" s="199" t="s"/>
      <c r="T298" s="199" t="s"/>
      <c r="U298" s="199" t="s"/>
      <c r="V298" s="199" t="s"/>
      <c r="W298" s="199" t="s"/>
      <c r="X298" s="199" t="s"/>
      <c r="Y298" s="199" t="s"/>
      <c r="Z298" s="109" t="s"/>
      <c r="AA298" s="200" t="s"/>
      <c r="AB298" s="200" t="s"/>
      <c r="AC298" s="200" t="s"/>
      <c r="AD298" s="200" t="s"/>
      <c r="AE298" s="200" t="s"/>
      <c r="AF298" s="200" t="s"/>
      <c r="AG298" s="200" t="s"/>
      <c r="AH298" s="200" t="s"/>
      <c r="AI298" s="200" t="s"/>
      <c r="AJ298" s="200" t="s"/>
      <c r="AK298" s="200" t="s"/>
      <c r="AL298" s="200" t="s"/>
      <c r="AM298" s="200" t="s"/>
    </row>
    <row r="299" spans="1:39" s="431" customFormat="true">
      <c r="A299" s="97">
        <v>298</v>
      </c>
      <c r="B299" s="175" t="s">
        <v>145</v>
      </c>
      <c r="C299" s="174">
        <v>46106.4666666667</v>
      </c>
      <c r="D299" s="167">
        <v>12</v>
      </c>
      <c r="E299" s="120">
        <v>46107</v>
      </c>
      <c r="F299" s="168" t="s">
        <v>228</v>
      </c>
      <c r="G299" s="175" t="s">
        <v>1269</v>
      </c>
      <c r="H299" s="96" t="s">
        <v>12</v>
      </c>
      <c r="I299" s="166" t="s">
        <v>646</v>
      </c>
      <c r="J299" s="97" t="s">
        <f>=_xlfn.TEXTJOIN("+",TRUE,_xlfn._xlws.FILTER(_xlfn.TEXTSPLIT(H299,,"+"),(_xlfn.TEXTSPLIT(H299,,"+")&lt;&gt;"埃米工具")*(_xlfn.TEXTSPLIT(H299,,"+")&lt;&gt;"埃米广告通")))</f>
        <v>12</v>
      </c>
      <c r="K299" s="109">
        <f>=EDATE(C299,D299)</f>
        <v>46471</v>
      </c>
      <c r="L299" s="191">
        <v>46107</v>
      </c>
      <c r="M299" s="168" t="s">
        <v>953</v>
      </c>
      <c r="N299" s="96" t="s">
        <v>611</v>
      </c>
      <c r="O299" s="168" t="s">
        <v>1248</v>
      </c>
      <c r="P299" s="168" t="s"/>
      <c r="Q299" s="171" t="s"/>
      <c r="R299" s="199" t="s"/>
      <c r="S299" s="199" t="s"/>
      <c r="T299" s="199" t="s"/>
      <c r="U299" s="199" t="s"/>
      <c r="V299" s="199" t="s"/>
      <c r="W299" s="199" t="s"/>
      <c r="X299" s="199" t="s"/>
      <c r="Y299" s="199" t="s"/>
      <c r="Z299" s="200" t="s"/>
      <c r="AA299" s="200" t="s"/>
      <c r="AB299" s="200" t="s"/>
      <c r="AC299" s="200" t="s"/>
      <c r="AD299" s="200" t="s"/>
      <c r="AE299" s="200" t="s"/>
      <c r="AF299" s="200" t="s"/>
      <c r="AG299" s="200" t="s"/>
      <c r="AH299" s="200" t="s"/>
      <c r="AI299" s="200" t="s"/>
      <c r="AJ299" s="200" t="s"/>
      <c r="AK299" s="200" t="s"/>
      <c r="AL299" s="200" t="s"/>
      <c r="AM299" s="200" t="s"/>
    </row>
    <row r="300" spans="1:39" s="431" customFormat="true">
      <c r="A300" s="97">
        <v>299</v>
      </c>
      <c r="B300" s="175" t="s">
        <v>1270</v>
      </c>
      <c r="C300" s="174">
        <v>46106.5743055556</v>
      </c>
      <c r="D300" s="167">
        <v>12</v>
      </c>
      <c r="E300" s="120">
        <v>46107</v>
      </c>
      <c r="F300" s="168" t="s">
        <v>228</v>
      </c>
      <c r="G300" s="175" t="s">
        <v>1271</v>
      </c>
      <c r="H300" s="96" t="s">
        <v>607</v>
      </c>
      <c r="I300" s="166" t="s">
        <v>609</v>
      </c>
      <c r="J300" s="97" t="s">
        <f>=_xlfn.TEXTJOIN("+",TRUE,_xlfn._xlws.FILTER(_xlfn.TEXTSPLIT(H300,,"+"),(_xlfn.TEXTSPLIT(H300,,"+")&lt;&gt;"埃米工具")*(_xlfn.TEXTSPLIT(H300,,"+")&lt;&gt;"埃米广告通")))</f>
        <v>607</v>
      </c>
      <c r="K300" s="109">
        <f>=EDATE(C300,D300)</f>
        <v>46471</v>
      </c>
      <c r="L300" s="168" t="s"/>
      <c r="M300" s="128" t="s"/>
      <c r="N300" s="96" t="s">
        <v>611</v>
      </c>
      <c r="O300" s="168" t="s">
        <v>1272</v>
      </c>
      <c r="P300" s="168" t="s"/>
      <c r="Q300" s="171" t="s"/>
      <c r="R300" s="199" t="s"/>
      <c r="S300" s="199" t="s"/>
      <c r="T300" s="199" t="s"/>
      <c r="U300" s="199" t="s"/>
      <c r="V300" s="199" t="s"/>
      <c r="W300" s="199" t="s"/>
      <c r="X300" s="199" t="s"/>
      <c r="Y300" s="199" t="s"/>
      <c r="Z300" s="200" t="s"/>
      <c r="AA300" s="200" t="s"/>
      <c r="AB300" s="200" t="s"/>
      <c r="AC300" s="200" t="s"/>
      <c r="AD300" s="200" t="s"/>
      <c r="AE300" s="200" t="s"/>
      <c r="AF300" s="200" t="s"/>
      <c r="AG300" s="200" t="s"/>
      <c r="AH300" s="200" t="s"/>
      <c r="AI300" s="200" t="s"/>
      <c r="AJ300" s="200" t="s"/>
      <c r="AK300" s="200" t="s"/>
      <c r="AL300" s="200" t="s"/>
      <c r="AM300" s="200" t="s"/>
    </row>
    <row r="301" spans="1:39" s="431" customFormat="true">
      <c r="A301" s="97">
        <v>300</v>
      </c>
      <c r="B301" s="175" t="s">
        <v>146</v>
      </c>
      <c r="C301" s="174">
        <v>46106.6819444445</v>
      </c>
      <c r="D301" s="167">
        <v>12</v>
      </c>
      <c r="E301" s="120">
        <v>46107</v>
      </c>
      <c r="F301" s="168" t="s">
        <v>224</v>
      </c>
      <c r="G301" s="175" t="s">
        <v>1273</v>
      </c>
      <c r="H301" s="96" t="s">
        <v>12</v>
      </c>
      <c r="I301" s="166" t="s">
        <v>609</v>
      </c>
      <c r="J301" s="97" t="s">
        <f>=_xlfn.TEXTJOIN("+",TRUE,_xlfn._xlws.FILTER(_xlfn.TEXTSPLIT(H301,,"+"),(_xlfn.TEXTSPLIT(H301,,"+")&lt;&gt;"埃米工具")*(_xlfn.TEXTSPLIT(H301,,"+")&lt;&gt;"埃米广告通")))</f>
        <v>12</v>
      </c>
      <c r="K301" s="109">
        <f>=EDATE(C301,D301)</f>
        <v>46471</v>
      </c>
      <c r="L301" s="193">
        <v>46108</v>
      </c>
      <c r="M301" s="128" t="s">
        <v>1274</v>
      </c>
      <c r="N301" s="96" t="s">
        <v>611</v>
      </c>
      <c r="O301" s="168" t="s"/>
      <c r="P301" s="168" t="s">
        <v>1091</v>
      </c>
      <c r="Q301" s="171" t="s"/>
      <c r="R301" s="199" t="s"/>
      <c r="S301" s="199" t="s"/>
      <c r="T301" s="199" t="s"/>
      <c r="U301" s="199" t="s"/>
      <c r="V301" s="199" t="s"/>
      <c r="W301" s="199" t="s"/>
      <c r="X301" s="199" t="s"/>
      <c r="Y301" s="199" t="s"/>
      <c r="Z301" s="109" t="s"/>
      <c r="AA301" s="200" t="s"/>
      <c r="AB301" s="200" t="s"/>
      <c r="AC301" s="200" t="s"/>
      <c r="AD301" s="200" t="s"/>
      <c r="AE301" s="200" t="s"/>
      <c r="AF301" s="200" t="s"/>
      <c r="AG301" s="200" t="s"/>
      <c r="AH301" s="200" t="s"/>
      <c r="AI301" s="200" t="s"/>
      <c r="AJ301" s="200" t="s"/>
      <c r="AK301" s="200" t="s"/>
      <c r="AL301" s="200" t="s"/>
      <c r="AM301" s="200" t="s"/>
    </row>
    <row r="302" spans="1:39" s="431" customFormat="true">
      <c r="A302" s="97">
        <v>301</v>
      </c>
      <c r="B302" s="175" t="s">
        <v>420</v>
      </c>
      <c r="C302" s="174">
        <v>46106.4201388889</v>
      </c>
      <c r="D302" s="167">
        <v>12</v>
      </c>
      <c r="E302" s="120">
        <v>46107</v>
      </c>
      <c r="F302" s="168" t="s">
        <v>215</v>
      </c>
      <c r="G302" s="175" t="s">
        <v>1275</v>
      </c>
      <c r="H302" s="96" t="s">
        <v>607</v>
      </c>
      <c r="I302" s="166" t="s">
        <v>609</v>
      </c>
      <c r="J302" s="97" t="s">
        <f>=_xlfn.TEXTJOIN("+",TRUE,_xlfn._xlws.FILTER(_xlfn.TEXTSPLIT(H302,,"+"),(_xlfn.TEXTSPLIT(H302,,"+")&lt;&gt;"埃米工具")*(_xlfn.TEXTSPLIT(H302,,"+")&lt;&gt;"埃米广告通")))</f>
        <v>607</v>
      </c>
      <c r="K302" s="109">
        <f>=EDATE(C302,D302)</f>
        <v>46471</v>
      </c>
      <c r="L302" s="168" t="s"/>
      <c r="M302" s="128" t="s"/>
      <c r="N302" s="96" t="s">
        <v>611</v>
      </c>
      <c r="O302" s="126" t="s">
        <v>1075</v>
      </c>
      <c r="P302" s="168" t="s"/>
      <c r="Q302" s="171" t="s"/>
      <c r="R302" s="199" t="s"/>
      <c r="S302" s="199" t="s"/>
      <c r="T302" s="199" t="s"/>
      <c r="U302" s="199" t="s"/>
      <c r="V302" s="199" t="s"/>
      <c r="W302" s="199" t="s"/>
      <c r="X302" s="199" t="s"/>
      <c r="Y302" s="199" t="s"/>
      <c r="Z302" s="200" t="s"/>
      <c r="AA302" s="200" t="s"/>
      <c r="AB302" s="200" t="s"/>
      <c r="AC302" s="200" t="s"/>
      <c r="AD302" s="200" t="s"/>
      <c r="AE302" s="200" t="s"/>
      <c r="AF302" s="200" t="s"/>
      <c r="AG302" s="200" t="s"/>
      <c r="AH302" s="200" t="s"/>
      <c r="AI302" s="200" t="s"/>
      <c r="AJ302" s="200" t="s"/>
      <c r="AK302" s="200" t="s"/>
      <c r="AL302" s="200" t="s"/>
      <c r="AM302" s="200" t="s"/>
    </row>
    <row r="303" spans="1:39" s="431" customFormat="true">
      <c r="A303" s="97">
        <v>302</v>
      </c>
      <c r="B303" s="175" t="s">
        <v>147</v>
      </c>
      <c r="C303" s="174">
        <v>46106.5013888889</v>
      </c>
      <c r="D303" s="167">
        <v>12</v>
      </c>
      <c r="E303" s="120">
        <v>46107</v>
      </c>
      <c r="F303" s="168" t="s">
        <v>236</v>
      </c>
      <c r="G303" s="175" t="s">
        <v>1276</v>
      </c>
      <c r="H303" s="96" t="s">
        <v>12</v>
      </c>
      <c r="I303" s="166" t="s">
        <v>609</v>
      </c>
      <c r="J303" s="97" t="s">
        <f>=_xlfn.TEXTJOIN("+",TRUE,_xlfn._xlws.FILTER(_xlfn.TEXTSPLIT(H303,,"+"),(_xlfn.TEXTSPLIT(H303,,"+")&lt;&gt;"埃米工具")*(_xlfn.TEXTSPLIT(H303,,"+")&lt;&gt;"埃米广告通")))</f>
        <v>12</v>
      </c>
      <c r="K303" s="109">
        <f>=EDATE(C303,D303)</f>
        <v>46471</v>
      </c>
      <c r="L303" s="191">
        <v>46115</v>
      </c>
      <c r="M303" s="168" t="s">
        <v>1277</v>
      </c>
      <c r="N303" s="96" t="s">
        <v>611</v>
      </c>
      <c r="O303" s="168" t="s">
        <v>1229</v>
      </c>
      <c r="P303" s="168" t="s"/>
      <c r="Q303" s="171" t="s"/>
      <c r="R303" s="199" t="s"/>
      <c r="S303" s="199" t="s"/>
      <c r="T303" s="199" t="s"/>
      <c r="U303" s="199" t="s"/>
      <c r="V303" s="199" t="s"/>
      <c r="W303" s="199" t="s"/>
      <c r="X303" s="199" t="s"/>
      <c r="Y303" s="199" t="s"/>
      <c r="Z303" s="109" t="s"/>
      <c r="AA303" s="200" t="s"/>
      <c r="AB303" s="200" t="s"/>
      <c r="AC303" s="200" t="s"/>
      <c r="AD303" s="200" t="s"/>
      <c r="AE303" s="200" t="s"/>
      <c r="AF303" s="200" t="s"/>
      <c r="AG303" s="200" t="s"/>
      <c r="AH303" s="200" t="s"/>
      <c r="AI303" s="200" t="s"/>
      <c r="AJ303" s="200" t="s"/>
      <c r="AK303" s="200" t="s"/>
      <c r="AL303" s="200" t="s"/>
      <c r="AM303" s="200" t="s"/>
    </row>
    <row r="304" spans="1:39" s="431" customFormat="true">
      <c r="A304" s="97">
        <v>303</v>
      </c>
      <c r="B304" s="175" t="s">
        <v>1278</v>
      </c>
      <c r="C304" s="174">
        <v>46106.5854166667</v>
      </c>
      <c r="D304" s="167">
        <v>12</v>
      </c>
      <c r="E304" s="120">
        <v>46107</v>
      </c>
      <c r="F304" s="168" t="s">
        <v>234</v>
      </c>
      <c r="G304" s="175" t="s">
        <v>1279</v>
      </c>
      <c r="H304" s="96" t="s">
        <v>607</v>
      </c>
      <c r="I304" s="166" t="s">
        <v>609</v>
      </c>
      <c r="J304" s="97" t="s">
        <f>=_xlfn.TEXTJOIN("+",TRUE,_xlfn._xlws.FILTER(_xlfn.TEXTSPLIT(H304,,"+"),(_xlfn.TEXTSPLIT(H304,,"+")&lt;&gt;"埃米工具")*(_xlfn.TEXTSPLIT(H304,,"+")&lt;&gt;"埃米广告通")))</f>
        <v>607</v>
      </c>
      <c r="K304" s="109">
        <f>=EDATE(C304,D304)</f>
        <v>46471</v>
      </c>
      <c r="L304" s="168" t="s"/>
      <c r="M304" s="128" t="s"/>
      <c r="N304" s="96" t="s">
        <v>611</v>
      </c>
      <c r="O304" s="168" t="s">
        <v>1045</v>
      </c>
      <c r="P304" s="168" t="s"/>
      <c r="Q304" s="171" t="s"/>
      <c r="R304" s="199" t="s"/>
      <c r="S304" s="199" t="s"/>
      <c r="T304" s="199" t="s"/>
      <c r="U304" s="199" t="s"/>
      <c r="V304" s="199" t="s"/>
      <c r="W304" s="199" t="s"/>
      <c r="X304" s="199" t="s"/>
      <c r="Y304" s="199" t="s"/>
      <c r="Z304" s="200" t="s"/>
      <c r="AA304" s="200" t="s"/>
      <c r="AB304" s="200" t="s"/>
      <c r="AC304" s="200" t="s"/>
      <c r="AD304" s="200" t="s"/>
      <c r="AE304" s="200" t="s"/>
      <c r="AF304" s="200" t="s"/>
      <c r="AG304" s="200" t="s"/>
      <c r="AH304" s="200" t="s"/>
      <c r="AI304" s="200" t="s"/>
      <c r="AJ304" s="200" t="s"/>
      <c r="AK304" s="200" t="s"/>
      <c r="AL304" s="200" t="s"/>
      <c r="AM304" s="200" t="s"/>
    </row>
    <row r="305" spans="1:39" s="429" customFormat="true" ht="14.25" customHeight="true">
      <c r="A305" s="97">
        <v>304</v>
      </c>
      <c r="B305" s="175" t="s">
        <v>1280</v>
      </c>
      <c r="C305" s="202">
        <v>46106.4615856482</v>
      </c>
      <c r="D305" s="167">
        <v>1</v>
      </c>
      <c r="E305" s="120">
        <v>46107</v>
      </c>
      <c r="F305" s="168" t="s">
        <v>228</v>
      </c>
      <c r="G305" s="175" t="s">
        <v>1281</v>
      </c>
      <c r="H305" s="96" t="s">
        <v>607</v>
      </c>
      <c r="I305" s="166" t="s">
        <v>609</v>
      </c>
      <c r="J305" s="97" t="s">
        <f>=_xlfn.TEXTJOIN("+",TRUE,_xlfn._xlws.FILTER(_xlfn.TEXTSPLIT(H305,,"+"),(_xlfn.TEXTSPLIT(H305,,"+")&lt;&gt;"埃米工具")*(_xlfn.TEXTSPLIT(H305,,"+")&lt;&gt;"埃米广告通")))</f>
        <v>607</v>
      </c>
      <c r="K305" s="109">
        <f>=EDATE(C305,D305)</f>
        <v>46137</v>
      </c>
      <c r="L305" s="168" t="s"/>
      <c r="M305" s="128" t="s"/>
      <c r="N305" s="96" t="s">
        <v>611</v>
      </c>
      <c r="O305" s="168" t="s">
        <v>1282</v>
      </c>
      <c r="P305" s="168" t="s"/>
      <c r="Q305" s="171" t="s"/>
      <c r="R305" s="199" t="s"/>
      <c r="S305" s="199" t="s"/>
      <c r="T305" s="199" t="s"/>
      <c r="U305" s="199" t="s"/>
      <c r="V305" s="199" t="s"/>
      <c r="W305" s="199" t="s"/>
      <c r="X305" s="199" t="s"/>
      <c r="Y305" s="199" t="s"/>
      <c r="Z305" s="200" t="s"/>
      <c r="AA305" s="200" t="s"/>
      <c r="AB305" s="200" t="s"/>
      <c r="AC305" s="200" t="s"/>
      <c r="AD305" s="200" t="s"/>
      <c r="AE305" s="200" t="s"/>
      <c r="AF305" s="200" t="s"/>
      <c r="AG305" s="200" t="s"/>
      <c r="AH305" s="200" t="s"/>
      <c r="AI305" s="200" t="s"/>
      <c r="AJ305" s="200" t="s"/>
      <c r="AK305" s="200" t="s"/>
      <c r="AL305" s="200" t="s"/>
      <c r="AM305" s="200" t="s"/>
    </row>
    <row r="306" spans="1:39" s="431" customFormat="true">
      <c r="A306" s="97">
        <v>305</v>
      </c>
      <c r="B306" s="166" t="s">
        <v>422</v>
      </c>
      <c r="C306" s="162">
        <v>46107.4104166667</v>
      </c>
      <c r="D306" s="167">
        <v>12</v>
      </c>
      <c r="E306" s="120">
        <v>46107</v>
      </c>
      <c r="F306" s="168" t="s">
        <v>215</v>
      </c>
      <c r="G306" s="175" t="s">
        <v>1283</v>
      </c>
      <c r="H306" s="96" t="s">
        <v>607</v>
      </c>
      <c r="I306" s="166" t="s">
        <v>609</v>
      </c>
      <c r="J306" s="97" t="s">
        <f>=_xlfn.TEXTJOIN("+",TRUE,_xlfn._xlws.FILTER(_xlfn.TEXTSPLIT(H306,,"+"),(_xlfn.TEXTSPLIT(H306,,"+")&lt;&gt;"埃米工具")*(_xlfn.TEXTSPLIT(H306,,"+")&lt;&gt;"埃米广告通")))</f>
        <v>607</v>
      </c>
      <c r="K306" s="109">
        <f>=EDATE(C306,D306)</f>
        <v>46472</v>
      </c>
      <c r="L306" s="168" t="s"/>
      <c r="M306" s="128" t="s"/>
      <c r="N306" s="96" t="s">
        <v>611</v>
      </c>
      <c r="O306" s="126" t="s">
        <v>1075</v>
      </c>
      <c r="P306" s="168" t="s"/>
      <c r="Q306" s="171" t="s"/>
      <c r="R306" s="199" t="s"/>
      <c r="S306" s="199" t="s"/>
      <c r="T306" s="199" t="s"/>
      <c r="U306" s="199" t="s"/>
      <c r="V306" s="199" t="s"/>
      <c r="W306" s="199" t="s"/>
      <c r="X306" s="199" t="s"/>
      <c r="Y306" s="199" t="s"/>
      <c r="Z306" s="200" t="s"/>
      <c r="AA306" s="200" t="s"/>
      <c r="AB306" s="200" t="s"/>
      <c r="AC306" s="200" t="s"/>
      <c r="AD306" s="200" t="s"/>
      <c r="AE306" s="200" t="s"/>
      <c r="AF306" s="200" t="s"/>
      <c r="AG306" s="200" t="s"/>
      <c r="AH306" s="200" t="s"/>
      <c r="AI306" s="200" t="s"/>
      <c r="AJ306" s="200" t="s"/>
      <c r="AK306" s="200" t="s"/>
      <c r="AL306" s="200" t="s"/>
      <c r="AM306" s="200" t="s"/>
    </row>
    <row r="307" spans="1:39" s="431" customFormat="true" ht="17.25" customHeight="true">
      <c r="A307" s="97">
        <v>306</v>
      </c>
      <c r="B307" s="166" t="s">
        <v>1284</v>
      </c>
      <c r="C307" s="162">
        <v>46107.5072916667</v>
      </c>
      <c r="D307" s="113">
        <v>12</v>
      </c>
      <c r="E307" s="118">
        <v>46107</v>
      </c>
      <c r="F307" s="167" t="s">
        <v>236</v>
      </c>
      <c r="G307" s="203" t="s">
        <v>1285</v>
      </c>
      <c r="H307" s="96" t="s">
        <v>607</v>
      </c>
      <c r="I307" s="187" t="s">
        <v>609</v>
      </c>
      <c r="J307" s="97" t="s">
        <f>=_xlfn.TEXTJOIN("+",TRUE,_xlfn._xlws.FILTER(_xlfn.TEXTSPLIT(H307,,"+"),(_xlfn.TEXTSPLIT(H307,,"+")&lt;&gt;"埃米工具")*(_xlfn.TEXTSPLIT(H307,,"+")&lt;&gt;"埃米广告通")))</f>
        <v>607</v>
      </c>
      <c r="K307" s="109">
        <f>=EDATE(C307,D307)</f>
        <v>46472</v>
      </c>
      <c r="L307" s="193" t="s"/>
      <c r="M307" s="128" t="s"/>
      <c r="N307" s="168" t="s"/>
      <c r="O307" s="168" t="s"/>
      <c r="P307" s="168" t="s">
        <v>1286</v>
      </c>
      <c r="Q307" s="171" t="s">
        <v>791</v>
      </c>
      <c r="R307" s="199" t="s"/>
      <c r="S307" s="199" t="s"/>
      <c r="T307" s="199" t="s"/>
      <c r="U307" s="199" t="s"/>
      <c r="V307" s="199" t="s"/>
      <c r="W307" s="199" t="s"/>
      <c r="X307" s="199" t="s"/>
      <c r="Y307" s="199" t="s"/>
      <c r="Z307" s="109" t="s"/>
      <c r="AA307" s="200" t="s"/>
      <c r="AB307" s="200" t="s"/>
      <c r="AC307" s="200" t="s"/>
      <c r="AD307" s="200" t="s"/>
      <c r="AE307" s="200" t="s"/>
      <c r="AF307" s="200" t="s"/>
      <c r="AG307" s="200" t="s"/>
      <c r="AH307" s="200" t="s"/>
      <c r="AI307" s="200" t="s"/>
      <c r="AJ307" s="200" t="s"/>
      <c r="AK307" s="200" t="s"/>
      <c r="AL307" s="200" t="s"/>
      <c r="AM307" s="200" t="s"/>
    </row>
    <row r="308" spans="1:39" s="431" customFormat="true">
      <c r="A308" s="97">
        <v>307</v>
      </c>
      <c r="B308" s="166" t="s">
        <v>148</v>
      </c>
      <c r="C308" s="162">
        <v>46107.4811458333</v>
      </c>
      <c r="D308" s="204">
        <v>12</v>
      </c>
      <c r="E308" s="120">
        <v>46107</v>
      </c>
      <c r="F308" s="152" t="s">
        <v>234</v>
      </c>
      <c r="G308" s="203" t="s">
        <v>1287</v>
      </c>
      <c r="H308" s="96" t="s">
        <v>12</v>
      </c>
      <c r="I308" s="187" t="s">
        <v>609</v>
      </c>
      <c r="J308" s="97" t="s">
        <f>=_xlfn.TEXTJOIN("+",TRUE,_xlfn._xlws.FILTER(_xlfn.TEXTSPLIT(H308,,"+"),(_xlfn.TEXTSPLIT(H308,,"+")&lt;&gt;"埃米工具")*(_xlfn.TEXTSPLIT(H308,,"+")&lt;&gt;"埃米广告通")))</f>
        <v>12</v>
      </c>
      <c r="K308" s="109">
        <f>=EDATE(C308,D308)</f>
        <v>46472</v>
      </c>
      <c r="L308" s="191">
        <v>46113</v>
      </c>
      <c r="M308" s="128" t="s">
        <v>1288</v>
      </c>
      <c r="N308" s="96" t="s">
        <v>611</v>
      </c>
      <c r="O308" s="168" t="s">
        <v>1045</v>
      </c>
      <c r="P308" s="168" t="s"/>
      <c r="Q308" s="171" t="s"/>
      <c r="R308" s="199" t="s"/>
      <c r="S308" s="199" t="s"/>
      <c r="T308" s="199" t="s"/>
      <c r="U308" s="199" t="s"/>
      <c r="V308" s="199" t="s"/>
      <c r="W308" s="199" t="s"/>
      <c r="X308" s="199" t="s"/>
      <c r="Y308" s="199" t="s"/>
      <c r="Z308" s="200" t="s"/>
      <c r="AA308" s="200" t="s"/>
      <c r="AB308" s="200" t="s"/>
      <c r="AC308" s="200" t="s"/>
      <c r="AD308" s="200" t="s"/>
      <c r="AE308" s="200" t="s"/>
      <c r="AF308" s="200" t="s"/>
      <c r="AG308" s="200" t="s"/>
      <c r="AH308" s="200" t="s"/>
      <c r="AI308" s="200" t="s"/>
      <c r="AJ308" s="200" t="s"/>
      <c r="AK308" s="200" t="s"/>
      <c r="AL308" s="200" t="s"/>
      <c r="AM308" s="200" t="s"/>
    </row>
    <row r="309" spans="1:39" s="431" customFormat="true">
      <c r="A309" s="97">
        <v>308</v>
      </c>
      <c r="B309" s="166" t="s">
        <v>149</v>
      </c>
      <c r="C309" s="162">
        <v>46107.6123842593</v>
      </c>
      <c r="D309" s="167">
        <v>12</v>
      </c>
      <c r="E309" s="120">
        <v>46107</v>
      </c>
      <c r="F309" s="168" t="s">
        <v>224</v>
      </c>
      <c r="G309" s="168" t="s">
        <v>1289</v>
      </c>
      <c r="H309" s="96" t="s">
        <v>12</v>
      </c>
      <c r="I309" s="187" t="s">
        <v>609</v>
      </c>
      <c r="J309" s="97" t="s">
        <f>=_xlfn.TEXTJOIN("+",TRUE,_xlfn._xlws.FILTER(_xlfn.TEXTSPLIT(H309,,"+"),(_xlfn.TEXTSPLIT(H309,,"+")&lt;&gt;"埃米工具")*(_xlfn.TEXTSPLIT(H309,,"+")&lt;&gt;"埃米广告通")))</f>
        <v>12</v>
      </c>
      <c r="K309" s="109">
        <f>=EDATE(C309,D309)</f>
        <v>46472</v>
      </c>
      <c r="L309" s="191">
        <v>46114</v>
      </c>
      <c r="M309" s="128" t="s">
        <v>610</v>
      </c>
      <c r="N309" s="96" t="s">
        <v>611</v>
      </c>
      <c r="O309" s="168" t="s"/>
      <c r="P309" s="170" t="s"/>
      <c r="Q309" s="171" t="s"/>
      <c r="R309" s="199" t="s"/>
      <c r="S309" s="199" t="s"/>
      <c r="T309" s="199" t="s"/>
      <c r="U309" s="199" t="s"/>
      <c r="V309" s="199" t="s"/>
      <c r="W309" s="199" t="s"/>
      <c r="X309" s="199" t="s"/>
      <c r="Y309" s="199" t="s"/>
      <c r="Z309" s="109" t="s"/>
      <c r="AA309" s="200" t="s"/>
      <c r="AB309" s="200" t="s"/>
      <c r="AC309" s="200" t="s"/>
      <c r="AD309" s="200" t="s"/>
      <c r="AE309" s="200" t="s"/>
      <c r="AF309" s="200" t="s"/>
      <c r="AG309" s="200" t="s"/>
      <c r="AH309" s="200" t="s"/>
      <c r="AI309" s="200" t="s"/>
      <c r="AJ309" s="200" t="s"/>
      <c r="AK309" s="200" t="s"/>
      <c r="AL309" s="200" t="s"/>
      <c r="AM309" s="200" t="s"/>
    </row>
    <row r="310" spans="1:39" s="431" customFormat="true" ht="25.5" customHeight="true">
      <c r="A310" s="97">
        <v>309</v>
      </c>
      <c r="B310" s="166" t="s">
        <v>150</v>
      </c>
      <c r="C310" s="162">
        <v>46107.5900347222</v>
      </c>
      <c r="D310" s="167">
        <v>12</v>
      </c>
      <c r="E310" s="120">
        <v>46107</v>
      </c>
      <c r="F310" s="168" t="s">
        <v>228</v>
      </c>
      <c r="G310" s="170" t="s">
        <v>1290</v>
      </c>
      <c r="H310" s="96" t="s">
        <v>12</v>
      </c>
      <c r="I310" s="187" t="s">
        <v>609</v>
      </c>
      <c r="J310" s="97" t="s">
        <f>=_xlfn.TEXTJOIN("+",TRUE,_xlfn._xlws.FILTER(_xlfn.TEXTSPLIT(H310,,"+"),(_xlfn.TEXTSPLIT(H310,,"+")&lt;&gt;"埃米工具")*(_xlfn.TEXTSPLIT(H310,,"+")&lt;&gt;"埃米广告通")))</f>
        <v>12</v>
      </c>
      <c r="K310" s="109">
        <f>=EDATE(C310,D310)</f>
        <v>46472</v>
      </c>
      <c r="L310" s="193">
        <v>46108</v>
      </c>
      <c r="M310" s="175" t="s">
        <v>1291</v>
      </c>
      <c r="N310" s="96" t="s">
        <v>611</v>
      </c>
      <c r="O310" s="168" t="s">
        <v>1292</v>
      </c>
      <c r="P310" s="168" t="s">
        <v>1293</v>
      </c>
      <c r="Q310" s="171" t="s"/>
      <c r="R310" s="199" t="s"/>
      <c r="S310" s="199" t="s"/>
      <c r="T310" s="199" t="s"/>
      <c r="U310" s="199" t="s"/>
      <c r="V310" s="199" t="s"/>
      <c r="W310" s="199" t="s"/>
      <c r="X310" s="199" t="s"/>
      <c r="Y310" s="199" t="s"/>
      <c r="Z310" s="200" t="s"/>
      <c r="AA310" s="200" t="s"/>
      <c r="AB310" s="200" t="s"/>
      <c r="AC310" s="200" t="s"/>
      <c r="AD310" s="200" t="s"/>
      <c r="AE310" s="200" t="s"/>
      <c r="AF310" s="200" t="s"/>
      <c r="AG310" s="200" t="s"/>
      <c r="AH310" s="200" t="s"/>
      <c r="AI310" s="200" t="s"/>
      <c r="AJ310" s="200" t="s"/>
      <c r="AK310" s="200" t="s"/>
      <c r="AL310" s="200" t="s"/>
      <c r="AM310" s="200" t="s"/>
    </row>
    <row r="311" spans="1:39" s="431" customFormat="true">
      <c r="A311" s="97">
        <v>310</v>
      </c>
      <c r="B311" s="166" t="s">
        <v>151</v>
      </c>
      <c r="C311" s="162">
        <v>46107.6009490741</v>
      </c>
      <c r="D311" s="167">
        <v>12</v>
      </c>
      <c r="E311" s="120">
        <v>46107</v>
      </c>
      <c r="F311" s="168" t="s">
        <v>215</v>
      </c>
      <c r="G311" s="168" t="s">
        <v>1294</v>
      </c>
      <c r="H311" s="96" t="s">
        <v>606</v>
      </c>
      <c r="I311" s="166" t="s">
        <v>609</v>
      </c>
      <c r="J311" s="97" t="s">
        <f>=_xlfn.TEXTJOIN("+",TRUE,_xlfn._xlws.FILTER(_xlfn.TEXTSPLIT(H311,,"+"),(_xlfn.TEXTSPLIT(H311,,"+")&lt;&gt;"埃米工具")*(_xlfn.TEXTSPLIT(H311,,"+")&lt;&gt;"埃米广告通")))</f>
        <v>15</v>
      </c>
      <c r="K311" s="109">
        <f>=EDATE(C311,D311)</f>
        <v>46472</v>
      </c>
      <c r="L311" s="191">
        <v>46111</v>
      </c>
      <c r="M311" s="128" t="s">
        <v>1295</v>
      </c>
      <c r="N311" s="96" t="s">
        <v>611</v>
      </c>
      <c r="O311" s="126" t="s">
        <v>1296</v>
      </c>
      <c r="P311" s="168" t="s"/>
      <c r="Q311" s="171" t="s"/>
      <c r="R311" s="199" t="s"/>
      <c r="S311" s="199" t="s"/>
      <c r="T311" s="199" t="s"/>
      <c r="U311" s="199" t="s"/>
      <c r="V311" s="199" t="s"/>
      <c r="W311" s="199" t="s"/>
      <c r="X311" s="199" t="s"/>
      <c r="Y311" s="199" t="s"/>
      <c r="Z311" s="200" t="s"/>
      <c r="AA311" s="200" t="s"/>
      <c r="AB311" s="200" t="s"/>
      <c r="AC311" s="200" t="s"/>
      <c r="AD311" s="200" t="s"/>
      <c r="AE311" s="200" t="s"/>
      <c r="AF311" s="200" t="s"/>
      <c r="AG311" s="200" t="s"/>
      <c r="AH311" s="200" t="s"/>
      <c r="AI311" s="200" t="s"/>
      <c r="AJ311" s="200" t="s"/>
      <c r="AK311" s="200" t="s"/>
      <c r="AL311" s="200" t="s"/>
      <c r="AM311" s="200" t="s"/>
    </row>
    <row r="312" spans="1:39" s="431" customFormat="true">
      <c r="A312" s="97">
        <v>311</v>
      </c>
      <c r="B312" s="166" t="s">
        <v>1297</v>
      </c>
      <c r="C312" s="162">
        <v>46107.6634490741</v>
      </c>
      <c r="D312" s="167">
        <v>24</v>
      </c>
      <c r="E312" s="120">
        <v>46107</v>
      </c>
      <c r="F312" s="168" t="s">
        <v>234</v>
      </c>
      <c r="G312" s="170" t="s">
        <v>1298</v>
      </c>
      <c r="H312" s="96" t="s">
        <v>607</v>
      </c>
      <c r="I312" s="166" t="s">
        <v>609</v>
      </c>
      <c r="J312" s="97" t="s">
        <f>=_xlfn.TEXTJOIN("+",TRUE,_xlfn._xlws.FILTER(_xlfn.TEXTSPLIT(H312,,"+"),(_xlfn.TEXTSPLIT(H312,,"+")&lt;&gt;"埃米工具")*(_xlfn.TEXTSPLIT(H312,,"+")&lt;&gt;"埃米广告通")))</f>
        <v>607</v>
      </c>
      <c r="K312" s="109">
        <f>=EDATE(C312,D312)</f>
        <v>46838</v>
      </c>
      <c r="L312" s="168" t="s"/>
      <c r="M312" s="128" t="s"/>
      <c r="N312" s="96" t="s">
        <v>611</v>
      </c>
      <c r="O312" s="168" t="s">
        <v>1045</v>
      </c>
      <c r="P312" s="168" t="s"/>
      <c r="Q312" s="171" t="s"/>
      <c r="R312" s="199" t="s"/>
      <c r="S312" s="199" t="s"/>
      <c r="T312" s="199" t="s"/>
      <c r="U312" s="199" t="s"/>
      <c r="V312" s="199" t="s"/>
      <c r="W312" s="199" t="s"/>
      <c r="X312" s="199" t="s"/>
      <c r="Y312" s="199" t="s"/>
      <c r="Z312" s="200" t="s"/>
      <c r="AA312" s="200" t="s"/>
      <c r="AB312" s="200" t="s"/>
      <c r="AC312" s="200" t="s"/>
      <c r="AD312" s="200" t="s"/>
      <c r="AE312" s="200" t="s"/>
      <c r="AF312" s="200" t="s"/>
      <c r="AG312" s="200" t="s"/>
      <c r="AH312" s="200" t="s"/>
      <c r="AI312" s="200" t="s"/>
      <c r="AJ312" s="200" t="s"/>
      <c r="AK312" s="200" t="s"/>
      <c r="AL312" s="200" t="s"/>
      <c r="AM312" s="200" t="s"/>
    </row>
    <row r="313" spans="1:39" s="431" customFormat="true">
      <c r="A313" s="97">
        <v>312</v>
      </c>
      <c r="B313" s="166" t="s">
        <v>393</v>
      </c>
      <c r="C313" s="162">
        <v>46107.6785185185</v>
      </c>
      <c r="D313" s="167">
        <v>12</v>
      </c>
      <c r="E313" s="120">
        <v>46107</v>
      </c>
      <c r="F313" s="168" t="s">
        <v>236</v>
      </c>
      <c r="G313" s="168" t="s">
        <v>1299</v>
      </c>
      <c r="H313" s="96" t="s">
        <v>607</v>
      </c>
      <c r="I313" s="166" t="s">
        <v>609</v>
      </c>
      <c r="J313" s="97" t="s">
        <f>=_xlfn.TEXTJOIN("+",TRUE,_xlfn._xlws.FILTER(_xlfn.TEXTSPLIT(H313,,"+"),(_xlfn.TEXTSPLIT(H313,,"+")&lt;&gt;"埃米工具")*(_xlfn.TEXTSPLIT(H313,,"+")&lt;&gt;"埃米广告通")))</f>
        <v>607</v>
      </c>
      <c r="K313" s="109">
        <f>=EDATE(C313,D313)</f>
        <v>46472</v>
      </c>
      <c r="L313" s="168" t="s"/>
      <c r="M313" s="128" t="s"/>
      <c r="N313" s="96" t="s">
        <v>611</v>
      </c>
      <c r="O313" s="168" t="s">
        <v>1045</v>
      </c>
      <c r="P313" s="168" t="s"/>
      <c r="Q313" s="171" t="s"/>
      <c r="R313" s="199" t="s"/>
      <c r="S313" s="199" t="s"/>
      <c r="T313" s="199" t="s"/>
      <c r="U313" s="199" t="s"/>
      <c r="V313" s="199" t="s"/>
      <c r="W313" s="199" t="s"/>
      <c r="X313" s="199" t="s"/>
      <c r="Y313" s="199" t="s"/>
      <c r="Z313" s="200" t="s"/>
      <c r="AA313" s="200" t="s"/>
      <c r="AB313" s="200" t="s"/>
      <c r="AC313" s="200" t="s"/>
      <c r="AD313" s="200" t="s"/>
      <c r="AE313" s="200" t="s"/>
      <c r="AF313" s="200" t="s"/>
      <c r="AG313" s="200" t="s"/>
      <c r="AH313" s="200" t="s"/>
      <c r="AI313" s="200" t="s"/>
      <c r="AJ313" s="200" t="s"/>
      <c r="AK313" s="200" t="s"/>
      <c r="AL313" s="200" t="s"/>
      <c r="AM313" s="200" t="s"/>
    </row>
    <row r="314" spans="1:39" s="431" customFormat="true">
      <c r="A314" s="97">
        <v>313</v>
      </c>
      <c r="B314" s="175" t="s">
        <v>1300</v>
      </c>
      <c r="C314" s="174">
        <v>46107.73125</v>
      </c>
      <c r="D314" s="167">
        <v>12</v>
      </c>
      <c r="E314" s="120">
        <v>46108</v>
      </c>
      <c r="F314" s="168" t="s">
        <v>215</v>
      </c>
      <c r="G314" s="175" t="s">
        <v>1301</v>
      </c>
      <c r="H314" s="96" t="s">
        <v>607</v>
      </c>
      <c r="I314" s="166" t="s">
        <v>609</v>
      </c>
      <c r="J314" s="97" t="s">
        <f>=_xlfn.TEXTJOIN("+",TRUE,_xlfn._xlws.FILTER(_xlfn.TEXTSPLIT(H314,,"+"),(_xlfn.TEXTSPLIT(H314,,"+")&lt;&gt;"埃米工具")*(_xlfn.TEXTSPLIT(H314,,"+")&lt;&gt;"埃米广告通")))</f>
        <v>607</v>
      </c>
      <c r="K314" s="109">
        <f>=EDATE(C314,D314)</f>
        <v>46472</v>
      </c>
      <c r="L314" s="168" t="s"/>
      <c r="M314" s="128" t="s"/>
      <c r="N314" s="96" t="s">
        <v>611</v>
      </c>
      <c r="O314" s="205" t="s">
        <v>1075</v>
      </c>
      <c r="P314" s="168" t="s"/>
      <c r="Q314" s="171" t="s"/>
      <c r="R314" s="199" t="s"/>
      <c r="S314" s="199" t="s"/>
      <c r="T314" s="199" t="s"/>
      <c r="U314" s="199" t="s"/>
      <c r="V314" s="199" t="s"/>
      <c r="W314" s="199" t="s"/>
      <c r="X314" s="199" t="s"/>
      <c r="Y314" s="199" t="s"/>
      <c r="Z314" s="200" t="s"/>
      <c r="AA314" s="200" t="s"/>
      <c r="AB314" s="200" t="s"/>
      <c r="AC314" s="200" t="s"/>
      <c r="AD314" s="200" t="s"/>
      <c r="AE314" s="200" t="s"/>
      <c r="AF314" s="200" t="s"/>
      <c r="AG314" s="200" t="s"/>
      <c r="AH314" s="200" t="s"/>
      <c r="AI314" s="200" t="s"/>
      <c r="AJ314" s="200" t="s"/>
      <c r="AK314" s="200" t="s"/>
      <c r="AL314" s="200" t="s"/>
      <c r="AM314" s="200" t="s"/>
    </row>
    <row r="315" spans="1:39" s="431" customFormat="true">
      <c r="A315" s="97">
        <v>314</v>
      </c>
      <c r="B315" s="175" t="s">
        <v>373</v>
      </c>
      <c r="C315" s="162">
        <v>46107.7548611111</v>
      </c>
      <c r="D315" s="167">
        <v>12</v>
      </c>
      <c r="E315" s="120">
        <v>46108</v>
      </c>
      <c r="F315" s="168" t="s">
        <v>228</v>
      </c>
      <c r="G315" s="168" t="s">
        <v>1302</v>
      </c>
      <c r="H315" s="96" t="s">
        <v>607</v>
      </c>
      <c r="I315" s="166" t="s">
        <v>609</v>
      </c>
      <c r="J315" s="97" t="s">
        <f>=_xlfn.TEXTJOIN("+",TRUE,_xlfn._xlws.FILTER(_xlfn.TEXTSPLIT(H315,,"+"),(_xlfn.TEXTSPLIT(H315,,"+")&lt;&gt;"埃米工具")*(_xlfn.TEXTSPLIT(H315,,"+")&lt;&gt;"埃米广告通")))</f>
        <v>607</v>
      </c>
      <c r="K315" s="109">
        <f>=EDATE(C315,D315)</f>
        <v>46472</v>
      </c>
      <c r="L315" s="168" t="s"/>
      <c r="M315" s="128" t="s"/>
      <c r="N315" s="96" t="s">
        <v>611</v>
      </c>
      <c r="O315" s="168" t="s">
        <v>1075</v>
      </c>
      <c r="P315" s="168" t="s"/>
      <c r="Q315" s="171" t="s"/>
      <c r="R315" s="199" t="s"/>
      <c r="S315" s="199" t="s"/>
      <c r="T315" s="199" t="s"/>
      <c r="U315" s="199" t="s"/>
      <c r="V315" s="199" t="s"/>
      <c r="W315" s="199" t="s"/>
      <c r="X315" s="199" t="s"/>
      <c r="Y315" s="199" t="s"/>
      <c r="Z315" s="200" t="s"/>
      <c r="AA315" s="200" t="s"/>
      <c r="AB315" s="200" t="s"/>
      <c r="AC315" s="200" t="s"/>
      <c r="AD315" s="200" t="s"/>
      <c r="AE315" s="200" t="s"/>
      <c r="AF315" s="200" t="s"/>
      <c r="AG315" s="200" t="s"/>
      <c r="AH315" s="200" t="s"/>
      <c r="AI315" s="200" t="s"/>
      <c r="AJ315" s="200" t="s"/>
      <c r="AK315" s="200" t="s"/>
      <c r="AL315" s="200" t="s"/>
      <c r="AM315" s="200" t="s"/>
    </row>
    <row r="316" spans="1:39" s="431" customFormat="true">
      <c r="A316" s="97">
        <v>315</v>
      </c>
      <c r="B316" s="166" t="s">
        <v>384</v>
      </c>
      <c r="C316" s="206">
        <v>46108.3805902778</v>
      </c>
      <c r="D316" s="167">
        <v>12</v>
      </c>
      <c r="E316" s="120">
        <v>46108</v>
      </c>
      <c r="F316" s="168" t="s">
        <v>224</v>
      </c>
      <c r="G316" s="168" t="s">
        <v>1303</v>
      </c>
      <c r="H316" s="96" t="s">
        <v>607</v>
      </c>
      <c r="I316" s="166" t="s">
        <v>609</v>
      </c>
      <c r="J316" s="97" t="s">
        <f>=_xlfn.TEXTJOIN("+",TRUE,_xlfn._xlws.FILTER(_xlfn.TEXTSPLIT(H316,,"+"),(_xlfn.TEXTSPLIT(H316,,"+")&lt;&gt;"埃米工具")*(_xlfn.TEXTSPLIT(H316,,"+")&lt;&gt;"埃米广告通")))</f>
        <v>607</v>
      </c>
      <c r="K316" s="109">
        <f>=EDATE(C316,D316)</f>
        <v>46473</v>
      </c>
      <c r="L316" s="168" t="s"/>
      <c r="M316" s="128" t="s"/>
      <c r="N316" s="96" t="s">
        <v>611</v>
      </c>
      <c r="O316" s="168" t="s">
        <v>1045</v>
      </c>
      <c r="P316" s="170" t="s"/>
      <c r="Q316" s="171" t="s"/>
      <c r="R316" s="199" t="s"/>
      <c r="S316" s="199" t="s"/>
      <c r="T316" s="199" t="s"/>
      <c r="U316" s="199" t="s"/>
      <c r="V316" s="199" t="s"/>
      <c r="W316" s="199" t="s"/>
      <c r="X316" s="199" t="s"/>
      <c r="Y316" s="199" t="s"/>
      <c r="Z316" s="200" t="s"/>
      <c r="AA316" s="200" t="s"/>
      <c r="AB316" s="200" t="s"/>
      <c r="AC316" s="200" t="s"/>
      <c r="AD316" s="200" t="s"/>
      <c r="AE316" s="200" t="s"/>
      <c r="AF316" s="200" t="s"/>
      <c r="AG316" s="200" t="s"/>
      <c r="AH316" s="200" t="s"/>
      <c r="AI316" s="200" t="s"/>
      <c r="AJ316" s="200" t="s"/>
      <c r="AK316" s="200" t="s"/>
      <c r="AL316" s="200" t="s"/>
      <c r="AM316" s="200" t="s"/>
    </row>
    <row r="317" spans="1:39" s="431" customFormat="true">
      <c r="A317" s="97">
        <v>316</v>
      </c>
      <c r="B317" s="179" t="s">
        <v>153</v>
      </c>
      <c r="C317" s="162">
        <v>46108.4334606482</v>
      </c>
      <c r="D317" s="167">
        <v>12</v>
      </c>
      <c r="E317" s="120">
        <v>46108</v>
      </c>
      <c r="F317" s="168" t="s">
        <v>228</v>
      </c>
      <c r="G317" s="168" t="s">
        <v>1304</v>
      </c>
      <c r="H317" s="96" t="s">
        <v>12</v>
      </c>
      <c r="I317" s="166" t="s">
        <v>609</v>
      </c>
      <c r="J317" s="97" t="s">
        <f>=_xlfn.TEXTJOIN("+",TRUE,_xlfn._xlws.FILTER(_xlfn.TEXTSPLIT(H317,,"+"),(_xlfn.TEXTSPLIT(H317,,"+")&lt;&gt;"埃米工具")*(_xlfn.TEXTSPLIT(H317,,"+")&lt;&gt;"埃米广告通")))</f>
        <v>12</v>
      </c>
      <c r="K317" s="109">
        <f>=EDATE(C317,D317)</f>
        <v>46473</v>
      </c>
      <c r="L317" s="193">
        <v>46108</v>
      </c>
      <c r="M317" s="175" t="s">
        <v>1305</v>
      </c>
      <c r="N317" s="96" t="s">
        <v>611</v>
      </c>
      <c r="O317" s="168" t="s">
        <v>1292</v>
      </c>
      <c r="P317" s="168" t="s"/>
      <c r="Q317" s="171" t="s"/>
      <c r="R317" s="199" t="s"/>
      <c r="S317" s="199" t="s"/>
      <c r="T317" s="199" t="s"/>
      <c r="U317" s="199" t="s"/>
      <c r="V317" s="199" t="s"/>
      <c r="W317" s="199" t="s"/>
      <c r="X317" s="199" t="s"/>
      <c r="Y317" s="199" t="s"/>
      <c r="Z317" s="200" t="s"/>
      <c r="AA317" s="200" t="s"/>
      <c r="AB317" s="200" t="s"/>
      <c r="AC317" s="200" t="s"/>
      <c r="AD317" s="200" t="s"/>
      <c r="AE317" s="200" t="s"/>
      <c r="AF317" s="200" t="s"/>
      <c r="AG317" s="200" t="s"/>
      <c r="AH317" s="200" t="s"/>
      <c r="AI317" s="200" t="s"/>
      <c r="AJ317" s="200" t="s"/>
      <c r="AK317" s="200" t="s"/>
      <c r="AL317" s="200" t="s"/>
      <c r="AM317" s="200" t="s"/>
    </row>
    <row r="318" spans="1:39" s="431" customFormat="true">
      <c r="A318" s="97">
        <v>317</v>
      </c>
      <c r="B318" s="166" t="s">
        <v>1306</v>
      </c>
      <c r="C318" s="162">
        <v>46108.4165509259</v>
      </c>
      <c r="D318" s="167">
        <v>12</v>
      </c>
      <c r="E318" s="120">
        <v>46108</v>
      </c>
      <c r="F318" s="168" t="s">
        <v>236</v>
      </c>
      <c r="G318" s="170" t="s">
        <v>1307</v>
      </c>
      <c r="H318" s="96" t="s">
        <v>607</v>
      </c>
      <c r="I318" s="166" t="s">
        <v>646</v>
      </c>
      <c r="J318" s="97" t="s">
        <f>=_xlfn.TEXTJOIN("+",TRUE,_xlfn._xlws.FILTER(_xlfn.TEXTSPLIT(H318,,"+"),(_xlfn.TEXTSPLIT(H318,,"+")&lt;&gt;"埃米工具")*(_xlfn.TEXTSPLIT(H318,,"+")&lt;&gt;"埃米广告通")))</f>
        <v>607</v>
      </c>
      <c r="K318" s="109">
        <f>=EDATE(C318,D318)</f>
        <v>46473</v>
      </c>
      <c r="L318" s="168" t="s"/>
      <c r="M318" s="128" t="s"/>
      <c r="N318" s="96" t="s">
        <v>611</v>
      </c>
      <c r="O318" s="168" t="s">
        <v>1229</v>
      </c>
      <c r="P318" s="168" t="s"/>
      <c r="Q318" s="171" t="s"/>
      <c r="R318" s="199" t="s"/>
      <c r="S318" s="199" t="s"/>
      <c r="T318" s="199" t="s"/>
      <c r="U318" s="199" t="s"/>
      <c r="V318" s="199" t="s"/>
      <c r="W318" s="199" t="s"/>
      <c r="X318" s="199" t="s"/>
      <c r="Y318" s="199" t="s"/>
      <c r="Z318" s="109" t="s"/>
      <c r="AA318" s="200" t="s"/>
      <c r="AB318" s="200" t="s"/>
      <c r="AC318" s="200" t="s"/>
      <c r="AD318" s="200" t="s"/>
      <c r="AE318" s="200" t="s"/>
      <c r="AF318" s="200" t="s"/>
      <c r="AG318" s="200" t="s"/>
      <c r="AH318" s="200" t="s"/>
      <c r="AI318" s="200" t="s"/>
      <c r="AJ318" s="200" t="s"/>
      <c r="AK318" s="200" t="s"/>
      <c r="AL318" s="200" t="s"/>
      <c r="AM318" s="200" t="s"/>
    </row>
    <row r="319" spans="1:39" s="431" customFormat="true">
      <c r="A319" s="97">
        <v>318</v>
      </c>
      <c r="B319" s="166" t="s">
        <v>154</v>
      </c>
      <c r="C319" s="162">
        <v>46108.4422106482</v>
      </c>
      <c r="D319" s="167">
        <v>12</v>
      </c>
      <c r="E319" s="120">
        <v>46108</v>
      </c>
      <c r="F319" s="168" t="s">
        <v>228</v>
      </c>
      <c r="G319" s="170" t="s">
        <v>1308</v>
      </c>
      <c r="H319" s="96" t="s">
        <v>606</v>
      </c>
      <c r="I319" s="166" t="s">
        <v>609</v>
      </c>
      <c r="J319" s="97" t="s">
        <f>=_xlfn.TEXTJOIN("+",TRUE,_xlfn._xlws.FILTER(_xlfn.TEXTSPLIT(H319,,"+"),(_xlfn.TEXTSPLIT(H319,,"+")&lt;&gt;"埃米工具")*(_xlfn.TEXTSPLIT(H319,,"+")&lt;&gt;"埃米广告通")))</f>
        <v>15</v>
      </c>
      <c r="K319" s="109">
        <f>=EDATE(C319,D319)</f>
        <v>46473</v>
      </c>
      <c r="L319" s="191">
        <v>46113</v>
      </c>
      <c r="M319" s="175" t="s">
        <v>953</v>
      </c>
      <c r="N319" s="96" t="s">
        <v>611</v>
      </c>
      <c r="O319" s="168" t="s">
        <v>1292</v>
      </c>
      <c r="P319" s="168" t="s"/>
      <c r="Q319" s="171" t="s"/>
      <c r="R319" s="199" t="s"/>
      <c r="S319" s="199" t="s"/>
      <c r="T319" s="199" t="s"/>
      <c r="U319" s="199" t="s"/>
      <c r="V319" s="199" t="s"/>
      <c r="W319" s="199" t="s"/>
      <c r="X319" s="199" t="s"/>
      <c r="Y319" s="199" t="s"/>
      <c r="Z319" s="200" t="s"/>
      <c r="AA319" s="200" t="s"/>
      <c r="AB319" s="200" t="s"/>
      <c r="AC319" s="200" t="s"/>
      <c r="AD319" s="200" t="s"/>
      <c r="AE319" s="200" t="s"/>
      <c r="AF319" s="200" t="s"/>
      <c r="AG319" s="200" t="s"/>
      <c r="AH319" s="200" t="s"/>
      <c r="AI319" s="200" t="s"/>
      <c r="AJ319" s="200" t="s"/>
      <c r="AK319" s="200" t="s"/>
      <c r="AL319" s="200" t="s"/>
      <c r="AM319" s="200" t="s"/>
    </row>
    <row r="320" spans="1:39" s="431" customFormat="true">
      <c r="A320" s="97">
        <v>319</v>
      </c>
      <c r="B320" s="166" t="s">
        <v>156</v>
      </c>
      <c r="C320" s="162">
        <v>46108.4435185185</v>
      </c>
      <c r="D320" s="167">
        <v>12</v>
      </c>
      <c r="E320" s="120">
        <v>46108</v>
      </c>
      <c r="F320" s="168" t="s">
        <v>215</v>
      </c>
      <c r="G320" s="168" t="s">
        <v>1309</v>
      </c>
      <c r="H320" s="96" t="s">
        <v>12</v>
      </c>
      <c r="I320" s="166" t="s">
        <v>609</v>
      </c>
      <c r="J320" s="97" t="s">
        <f>=_xlfn.TEXTJOIN("+",TRUE,_xlfn._xlws.FILTER(_xlfn.TEXTSPLIT(H320,,"+"),(_xlfn.TEXTSPLIT(H320,,"+")&lt;&gt;"埃米工具")*(_xlfn.TEXTSPLIT(H320,,"+")&lt;&gt;"埃米广告通")))</f>
        <v>12</v>
      </c>
      <c r="K320" s="109">
        <f>=EDATE(C320,D320)</f>
        <v>46473</v>
      </c>
      <c r="L320" s="191">
        <v>46111</v>
      </c>
      <c r="M320" s="195" t="s">
        <v>1310</v>
      </c>
      <c r="N320" s="96" t="s">
        <v>611</v>
      </c>
      <c r="O320" s="126" t="s">
        <v>1296</v>
      </c>
      <c r="P320" s="168" t="s"/>
      <c r="Q320" s="171" t="s"/>
      <c r="R320" s="199" t="s"/>
      <c r="S320" s="199" t="s"/>
      <c r="T320" s="199" t="s"/>
      <c r="U320" s="199" t="s"/>
      <c r="V320" s="199" t="s"/>
      <c r="W320" s="199" t="s"/>
      <c r="X320" s="199" t="s"/>
      <c r="Y320" s="199" t="s"/>
      <c r="Z320" s="200" t="s"/>
      <c r="AA320" s="200" t="s"/>
      <c r="AB320" s="200" t="s"/>
      <c r="AC320" s="200" t="s"/>
      <c r="AD320" s="200" t="s"/>
      <c r="AE320" s="200" t="s"/>
      <c r="AF320" s="200" t="s"/>
      <c r="AG320" s="200" t="s"/>
      <c r="AH320" s="200" t="s"/>
      <c r="AI320" s="200" t="s"/>
      <c r="AJ320" s="200" t="s"/>
      <c r="AK320" s="200" t="s"/>
      <c r="AL320" s="200" t="s"/>
      <c r="AM320" s="200" t="s"/>
    </row>
    <row r="321" spans="1:39" s="431" customFormat="true">
      <c r="A321" s="97">
        <v>320</v>
      </c>
      <c r="B321" s="179" t="s">
        <v>389</v>
      </c>
      <c r="C321" s="162">
        <v>46108.4766782407</v>
      </c>
      <c r="D321" s="167">
        <v>12</v>
      </c>
      <c r="E321" s="120">
        <v>46108</v>
      </c>
      <c r="F321" s="168" t="s">
        <v>228</v>
      </c>
      <c r="G321" s="168" t="s">
        <v>1311</v>
      </c>
      <c r="H321" s="96" t="s">
        <v>607</v>
      </c>
      <c r="I321" s="166" t="s">
        <v>609</v>
      </c>
      <c r="J321" s="97" t="s">
        <f>=_xlfn.TEXTJOIN("+",TRUE,_xlfn._xlws.FILTER(_xlfn.TEXTSPLIT(H321,,"+"),(_xlfn.TEXTSPLIT(H321,,"+")&lt;&gt;"埃米工具")*(_xlfn.TEXTSPLIT(H321,,"+")&lt;&gt;"埃米广告通")))</f>
        <v>607</v>
      </c>
      <c r="K321" s="109">
        <f>=EDATE(C321,D321)</f>
        <v>46473</v>
      </c>
      <c r="L321" s="168" t="s"/>
      <c r="M321" s="128" t="s"/>
      <c r="N321" s="96" t="s">
        <v>611</v>
      </c>
      <c r="O321" s="168" t="s">
        <v>1075</v>
      </c>
      <c r="P321" s="168" t="s"/>
      <c r="Q321" s="171" t="s"/>
      <c r="R321" s="199" t="s"/>
      <c r="S321" s="199" t="s"/>
      <c r="T321" s="199" t="s"/>
      <c r="U321" s="199" t="s"/>
      <c r="V321" s="199" t="s"/>
      <c r="W321" s="199" t="s"/>
      <c r="X321" s="199" t="s"/>
      <c r="Y321" s="199" t="s"/>
      <c r="Z321" s="200" t="s"/>
      <c r="AA321" s="200" t="s"/>
      <c r="AB321" s="200" t="s"/>
      <c r="AC321" s="200" t="s"/>
      <c r="AD321" s="200" t="s"/>
      <c r="AE321" s="200" t="s"/>
      <c r="AF321" s="200" t="s"/>
      <c r="AG321" s="200" t="s"/>
      <c r="AH321" s="200" t="s"/>
      <c r="AI321" s="200" t="s"/>
      <c r="AJ321" s="200" t="s"/>
      <c r="AK321" s="200" t="s"/>
      <c r="AL321" s="200" t="s"/>
      <c r="AM321" s="200" t="s"/>
    </row>
    <row r="322" spans="1:39" s="431" customFormat="true">
      <c r="A322" s="97">
        <v>321</v>
      </c>
      <c r="B322" s="168" t="s">
        <v>401</v>
      </c>
      <c r="C322" s="162">
        <v>46108.725775463</v>
      </c>
      <c r="D322" s="167">
        <v>12</v>
      </c>
      <c r="E322" s="120">
        <v>46111</v>
      </c>
      <c r="F322" s="168" t="s">
        <v>234</v>
      </c>
      <c r="G322" s="168" t="s">
        <v>1312</v>
      </c>
      <c r="H322" s="96" t="s">
        <v>607</v>
      </c>
      <c r="I322" s="166" t="s">
        <v>609</v>
      </c>
      <c r="J322" s="97" t="s">
        <f>=_xlfn.TEXTJOIN("+",TRUE,_xlfn._xlws.FILTER(_xlfn.TEXTSPLIT(H322,,"+"),(_xlfn.TEXTSPLIT(H322,,"+")&lt;&gt;"埃米工具")*(_xlfn.TEXTSPLIT(H322,,"+")&lt;&gt;"埃米广告通")))</f>
        <v>607</v>
      </c>
      <c r="K322" s="109">
        <f>=EDATE(C322,D322)</f>
        <v>46473</v>
      </c>
      <c r="L322" s="168" t="s"/>
      <c r="M322" s="128" t="s"/>
      <c r="N322" s="96" t="s">
        <v>611</v>
      </c>
      <c r="O322" s="168" t="s">
        <v>1075</v>
      </c>
      <c r="P322" s="168" t="s"/>
      <c r="Q322" s="171" t="s"/>
      <c r="R322" s="199" t="s"/>
      <c r="S322" s="199" t="s"/>
      <c r="T322" s="199" t="s"/>
      <c r="U322" s="199" t="s"/>
      <c r="V322" s="199" t="s"/>
      <c r="W322" s="199" t="s"/>
      <c r="X322" s="199" t="s"/>
      <c r="Y322" s="199" t="s"/>
      <c r="Z322" s="200" t="s"/>
      <c r="AA322" s="200" t="s"/>
      <c r="AB322" s="200" t="s"/>
      <c r="AC322" s="200" t="s"/>
      <c r="AD322" s="200" t="s"/>
      <c r="AE322" s="200" t="s"/>
      <c r="AF322" s="200" t="s"/>
      <c r="AG322" s="200" t="s"/>
      <c r="AH322" s="200" t="s"/>
      <c r="AI322" s="200" t="s"/>
      <c r="AJ322" s="200" t="s"/>
      <c r="AK322" s="200" t="s"/>
      <c r="AL322" s="200" t="s"/>
      <c r="AM322" s="200" t="s"/>
    </row>
    <row r="323" spans="1:39" s="431" customFormat="true">
      <c r="A323" s="97">
        <v>322</v>
      </c>
      <c r="B323" s="179" t="s">
        <v>157</v>
      </c>
      <c r="C323" s="162">
        <v>46111.3750231482</v>
      </c>
      <c r="D323" s="167">
        <v>12</v>
      </c>
      <c r="E323" s="120">
        <v>46111</v>
      </c>
      <c r="F323" s="168" t="s">
        <v>228</v>
      </c>
      <c r="G323" s="179" t="s">
        <v>1313</v>
      </c>
      <c r="H323" s="96" t="s">
        <v>12</v>
      </c>
      <c r="I323" s="166" t="s">
        <v>609</v>
      </c>
      <c r="J323" s="97" t="s">
        <f>=_xlfn.TEXTJOIN("+",TRUE,_xlfn._xlws.FILTER(_xlfn.TEXTSPLIT(H323,,"+"),(_xlfn.TEXTSPLIT(H323,,"+")&lt;&gt;"埃米工具")*(_xlfn.TEXTSPLIT(H323,,"+")&lt;&gt;"埃米广告通")))</f>
        <v>12</v>
      </c>
      <c r="K323" s="109">
        <f>=EDATE(C323,D323)</f>
        <v>46476</v>
      </c>
      <c r="L323" s="191">
        <v>46112</v>
      </c>
      <c r="M323" s="175" t="s">
        <v>1247</v>
      </c>
      <c r="N323" s="96" t="s">
        <v>611</v>
      </c>
      <c r="O323" s="168" t="s">
        <v>1292</v>
      </c>
      <c r="P323" s="168" t="s"/>
      <c r="Q323" s="171" t="s"/>
      <c r="R323" s="199" t="s"/>
      <c r="S323" s="199" t="s"/>
      <c r="T323" s="199" t="s"/>
      <c r="U323" s="199" t="s"/>
      <c r="V323" s="199" t="s"/>
      <c r="W323" s="199" t="s"/>
      <c r="X323" s="199" t="s"/>
      <c r="Y323" s="199" t="s"/>
      <c r="Z323" s="200" t="s"/>
      <c r="AA323" s="200" t="s"/>
      <c r="AB323" s="200" t="s"/>
      <c r="AC323" s="200" t="s"/>
      <c r="AD323" s="200" t="s"/>
      <c r="AE323" s="200" t="s"/>
      <c r="AF323" s="200" t="s"/>
      <c r="AG323" s="200" t="s"/>
      <c r="AH323" s="200" t="s"/>
      <c r="AI323" s="200" t="s"/>
      <c r="AJ323" s="200" t="s"/>
      <c r="AK323" s="200" t="s"/>
      <c r="AL323" s="200" t="s"/>
      <c r="AM323" s="200" t="s"/>
    </row>
    <row r="324" spans="1:39" s="431" customFormat="true">
      <c r="A324" s="97">
        <v>323</v>
      </c>
      <c r="B324" s="166" t="s">
        <v>377</v>
      </c>
      <c r="C324" s="162">
        <v>46111.4263194445</v>
      </c>
      <c r="D324" s="167">
        <v>12</v>
      </c>
      <c r="E324" s="120">
        <v>46111</v>
      </c>
      <c r="F324" s="168" t="s">
        <v>224</v>
      </c>
      <c r="G324" s="168" t="s">
        <v>1314</v>
      </c>
      <c r="H324" s="96" t="s">
        <v>607</v>
      </c>
      <c r="I324" s="166" t="s">
        <v>609</v>
      </c>
      <c r="J324" s="97" t="s">
        <f>=_xlfn.TEXTJOIN("+",TRUE,_xlfn._xlws.FILTER(_xlfn.TEXTSPLIT(H324,,"+"),(_xlfn.TEXTSPLIT(H324,,"+")&lt;&gt;"埃米工具")*(_xlfn.TEXTSPLIT(H324,,"+")&lt;&gt;"埃米广告通")))</f>
        <v>607</v>
      </c>
      <c r="K324" s="109">
        <f>=EDATE(C324,D324)</f>
        <v>46476</v>
      </c>
      <c r="L324" s="168" t="s"/>
      <c r="M324" s="128" t="s"/>
      <c r="N324" s="96" t="s">
        <v>611</v>
      </c>
      <c r="O324" s="168" t="s">
        <v>1045</v>
      </c>
      <c r="P324" s="168" t="s"/>
      <c r="Q324" s="171" t="s"/>
      <c r="R324" s="199" t="s"/>
      <c r="S324" s="199" t="s"/>
      <c r="T324" s="199" t="s"/>
      <c r="U324" s="199" t="s"/>
      <c r="V324" s="199" t="s"/>
      <c r="W324" s="199" t="s"/>
      <c r="X324" s="199" t="s"/>
      <c r="Y324" s="199" t="s"/>
      <c r="Z324" s="200" t="s"/>
      <c r="AA324" s="200" t="s"/>
      <c r="AB324" s="200" t="s"/>
      <c r="AC324" s="200" t="s"/>
      <c r="AD324" s="200" t="s"/>
      <c r="AE324" s="200" t="s"/>
      <c r="AF324" s="200" t="s"/>
      <c r="AG324" s="200" t="s"/>
      <c r="AH324" s="200" t="s"/>
      <c r="AI324" s="200" t="s"/>
      <c r="AJ324" s="200" t="s"/>
      <c r="AK324" s="200" t="s"/>
      <c r="AL324" s="200" t="s"/>
      <c r="AM324" s="200" t="s"/>
    </row>
    <row r="325" spans="1:39" s="431" customFormat="true">
      <c r="A325" s="97">
        <v>324</v>
      </c>
      <c r="B325" s="166" t="s">
        <v>158</v>
      </c>
      <c r="C325" s="207">
        <v>46111.4597222222</v>
      </c>
      <c r="D325" s="167">
        <v>12</v>
      </c>
      <c r="E325" s="120">
        <v>46111</v>
      </c>
      <c r="F325" s="168" t="s">
        <v>215</v>
      </c>
      <c r="G325" s="179" t="s">
        <v>1315</v>
      </c>
      <c r="H325" s="96" t="s">
        <v>12</v>
      </c>
      <c r="I325" s="166" t="s">
        <v>646</v>
      </c>
      <c r="J325" s="97" t="s">
        <f>=_xlfn.TEXTJOIN("+",TRUE,_xlfn._xlws.FILTER(_xlfn.TEXTSPLIT(H325,,"+"),(_xlfn.TEXTSPLIT(H325,,"+")&lt;&gt;"埃米工具")*(_xlfn.TEXTSPLIT(H325,,"+")&lt;&gt;"埃米广告通")))</f>
        <v>12</v>
      </c>
      <c r="K325" s="109">
        <f>=EDATE(C325,D325)</f>
        <v>46476</v>
      </c>
      <c r="L325" s="168" t="s"/>
      <c r="M325" s="128" t="s"/>
      <c r="N325" s="96" t="s">
        <v>611</v>
      </c>
      <c r="O325" s="126" t="s">
        <v>1296</v>
      </c>
      <c r="P325" s="168" t="s"/>
      <c r="Q325" s="171" t="s"/>
      <c r="R325" s="199" t="s"/>
      <c r="S325" s="199" t="s"/>
      <c r="T325" s="199" t="s"/>
      <c r="U325" s="199" t="s"/>
      <c r="V325" s="199" t="s"/>
      <c r="W325" s="199" t="s"/>
      <c r="X325" s="199" t="s"/>
      <c r="Y325" s="199" t="s"/>
      <c r="Z325" s="200" t="s"/>
      <c r="AA325" s="200" t="s"/>
      <c r="AB325" s="200" t="s"/>
      <c r="AC325" s="200" t="s"/>
      <c r="AD325" s="200" t="s"/>
      <c r="AE325" s="200" t="s"/>
      <c r="AF325" s="200" t="s"/>
      <c r="AG325" s="200" t="s"/>
      <c r="AH325" s="200" t="s"/>
      <c r="AI325" s="200" t="s"/>
      <c r="AJ325" s="200" t="s"/>
      <c r="AK325" s="200" t="s"/>
      <c r="AL325" s="200" t="s"/>
      <c r="AM325" s="200" t="s"/>
    </row>
    <row r="326" spans="1:39" s="431" customFormat="true">
      <c r="A326" s="97">
        <v>325</v>
      </c>
      <c r="B326" s="166" t="s">
        <v>1316</v>
      </c>
      <c r="C326" s="162">
        <v>46111.4801041667</v>
      </c>
      <c r="D326" s="167">
        <v>12</v>
      </c>
      <c r="E326" s="120">
        <v>46111</v>
      </c>
      <c r="F326" s="152" t="s">
        <v>224</v>
      </c>
      <c r="G326" s="168" t="s">
        <v>1317</v>
      </c>
      <c r="H326" s="96" t="s">
        <v>607</v>
      </c>
      <c r="I326" s="166" t="s">
        <v>609</v>
      </c>
      <c r="J326" s="97" t="s">
        <f>=_xlfn.TEXTJOIN("+",TRUE,_xlfn._xlws.FILTER(_xlfn.TEXTSPLIT(H326,,"+"),(_xlfn.TEXTSPLIT(H326,,"+")&lt;&gt;"埃米工具")*(_xlfn.TEXTSPLIT(H326,,"+")&lt;&gt;"埃米广告通")))</f>
        <v>607</v>
      </c>
      <c r="K326" s="109">
        <f>=EDATE(C326,D326)</f>
        <v>46476</v>
      </c>
      <c r="L326" s="168" t="s"/>
      <c r="M326" s="128" t="s"/>
      <c r="N326" s="96" t="s">
        <v>611</v>
      </c>
      <c r="O326" s="168" t="s"/>
      <c r="P326" s="170" t="s">
        <v>1318</v>
      </c>
      <c r="Q326" s="171" t="s">
        <v>791</v>
      </c>
      <c r="R326" s="199" t="s"/>
      <c r="S326" s="199" t="s"/>
      <c r="T326" s="199" t="s"/>
      <c r="U326" s="199" t="s"/>
      <c r="V326" s="199" t="s"/>
      <c r="W326" s="199" t="s"/>
      <c r="X326" s="199" t="s"/>
      <c r="Y326" s="199" t="s"/>
      <c r="Z326" s="109" t="s"/>
      <c r="AA326" s="200" t="s"/>
      <c r="AB326" s="200" t="s"/>
      <c r="AC326" s="200" t="s"/>
      <c r="AD326" s="200" t="s"/>
      <c r="AE326" s="200" t="s"/>
      <c r="AF326" s="200" t="s"/>
      <c r="AG326" s="200" t="s"/>
      <c r="AH326" s="200" t="s"/>
      <c r="AI326" s="200" t="s"/>
      <c r="AJ326" s="200" t="s"/>
      <c r="AK326" s="200" t="s"/>
      <c r="AL326" s="200" t="s"/>
      <c r="AM326" s="200" t="s"/>
    </row>
    <row r="327" spans="1:39" s="431" customFormat="true">
      <c r="A327" s="97">
        <v>326</v>
      </c>
      <c r="B327" s="166" t="s">
        <v>159</v>
      </c>
      <c r="C327" s="162">
        <v>46111.4918634259</v>
      </c>
      <c r="D327" s="167">
        <v>12</v>
      </c>
      <c r="E327" s="118">
        <v>46111</v>
      </c>
      <c r="F327" s="168" t="s">
        <v>228</v>
      </c>
      <c r="G327" s="168" t="s">
        <v>1319</v>
      </c>
      <c r="H327" s="96" t="s">
        <v>12</v>
      </c>
      <c r="I327" s="166" t="s">
        <v>609</v>
      </c>
      <c r="J327" s="97" t="s">
        <f>=_xlfn.TEXTJOIN("+",TRUE,_xlfn._xlws.FILTER(_xlfn.TEXTSPLIT(H327,,"+"),(_xlfn.TEXTSPLIT(H327,,"+")&lt;&gt;"埃米工具")*(_xlfn.TEXTSPLIT(H327,,"+")&lt;&gt;"埃米广告通")))</f>
        <v>12</v>
      </c>
      <c r="K327" s="109">
        <f>=EDATE(C327,D327)</f>
        <v>46476</v>
      </c>
      <c r="L327" s="191">
        <v>46115</v>
      </c>
      <c r="M327" s="175" t="s">
        <v>1247</v>
      </c>
      <c r="N327" s="96" t="s">
        <v>611</v>
      </c>
      <c r="O327" s="168" t="s">
        <v>1320</v>
      </c>
      <c r="P327" s="168" t="s"/>
      <c r="Q327" s="171" t="s"/>
      <c r="R327" s="199" t="s"/>
      <c r="S327" s="199" t="s"/>
      <c r="T327" s="199" t="s"/>
      <c r="U327" s="199" t="s"/>
      <c r="V327" s="199" t="s"/>
      <c r="W327" s="199" t="s"/>
      <c r="X327" s="199" t="s"/>
      <c r="Y327" s="199" t="s"/>
      <c r="Z327" s="109" t="s"/>
      <c r="AA327" s="200" t="s"/>
      <c r="AB327" s="200" t="s"/>
      <c r="AC327" s="200" t="s"/>
      <c r="AD327" s="200" t="s"/>
      <c r="AE327" s="200" t="s"/>
      <c r="AF327" s="200" t="s"/>
      <c r="AG327" s="200" t="s"/>
      <c r="AH327" s="200" t="s"/>
      <c r="AI327" s="200" t="s"/>
      <c r="AJ327" s="200" t="s"/>
      <c r="AK327" s="200" t="s"/>
      <c r="AL327" s="200" t="s"/>
      <c r="AM327" s="200" t="s"/>
    </row>
    <row r="328" spans="1:39" s="431" customFormat="true">
      <c r="A328" s="97">
        <v>327</v>
      </c>
      <c r="B328" s="166" t="s">
        <v>160</v>
      </c>
      <c r="C328" s="206">
        <v>46111.5080208333</v>
      </c>
      <c r="D328" s="187">
        <v>12</v>
      </c>
      <c r="E328" s="120">
        <v>46111</v>
      </c>
      <c r="F328" s="168" t="s">
        <v>236</v>
      </c>
      <c r="G328" s="179" t="s">
        <v>1321</v>
      </c>
      <c r="H328" s="96" t="s">
        <v>12</v>
      </c>
      <c r="I328" s="166" t="s">
        <v>646</v>
      </c>
      <c r="J328" s="97" t="s">
        <f>=_xlfn.TEXTJOIN("+",TRUE,_xlfn._xlws.FILTER(_xlfn.TEXTSPLIT(H328,,"+"),(_xlfn.TEXTSPLIT(H328,,"+")&lt;&gt;"埃米工具")*(_xlfn.TEXTSPLIT(H328,,"+")&lt;&gt;"埃米广告通")))</f>
        <v>12</v>
      </c>
      <c r="K328" s="109">
        <f>=EDATE(C328,D328)</f>
        <v>46476</v>
      </c>
      <c r="L328" s="191">
        <v>46121</v>
      </c>
      <c r="M328" s="128" t="s">
        <v>610</v>
      </c>
      <c r="N328" s="96" t="s">
        <v>611</v>
      </c>
      <c r="O328" s="168" t="s">
        <v>1322</v>
      </c>
      <c r="P328" s="168" t="s">
        <v>1323</v>
      </c>
      <c r="Q328" s="171" t="s"/>
      <c r="R328" s="199" t="s"/>
      <c r="S328" s="199" t="s"/>
      <c r="T328" s="199" t="s"/>
      <c r="U328" s="199" t="s"/>
      <c r="V328" s="199" t="s"/>
      <c r="W328" s="199" t="s"/>
      <c r="X328" s="199" t="s"/>
      <c r="Y328" s="199" t="s"/>
      <c r="Z328" s="109" t="s"/>
      <c r="AA328" s="200" t="s"/>
      <c r="AB328" s="200" t="s"/>
      <c r="AC328" s="200" t="s"/>
      <c r="AD328" s="200" t="s"/>
      <c r="AE328" s="200" t="s"/>
      <c r="AF328" s="200" t="s"/>
      <c r="AG328" s="200" t="s"/>
      <c r="AH328" s="200" t="s"/>
      <c r="AI328" s="200" t="s"/>
      <c r="AJ328" s="200" t="s"/>
      <c r="AK328" s="200" t="s"/>
      <c r="AL328" s="200" t="s"/>
      <c r="AM328" s="200" t="s"/>
    </row>
    <row r="329" spans="1:39" s="431" customFormat="true">
      <c r="A329" s="97">
        <v>328</v>
      </c>
      <c r="B329" s="166" t="s">
        <v>1324</v>
      </c>
      <c r="C329" s="162">
        <v>46111.5790740741</v>
      </c>
      <c r="D329" s="167">
        <v>12</v>
      </c>
      <c r="E329" s="120">
        <v>46111</v>
      </c>
      <c r="F329" s="168" t="s">
        <v>228</v>
      </c>
      <c r="G329" s="168" t="s">
        <v>1325</v>
      </c>
      <c r="H329" s="96" t="s">
        <v>607</v>
      </c>
      <c r="I329" s="166" t="s">
        <v>609</v>
      </c>
      <c r="J329" s="97" t="s">
        <f>=_xlfn.TEXTJOIN("+",TRUE,_xlfn._xlws.FILTER(_xlfn.TEXTSPLIT(H329,,"+"),(_xlfn.TEXTSPLIT(H329,,"+")&lt;&gt;"埃米工具")*(_xlfn.TEXTSPLIT(H329,,"+")&lt;&gt;"埃米广告通")))</f>
        <v>607</v>
      </c>
      <c r="K329" s="109">
        <f>=EDATE(C329,D329)</f>
        <v>46476</v>
      </c>
      <c r="L329" s="168" t="s"/>
      <c r="M329" s="128" t="s"/>
      <c r="N329" s="96" t="s">
        <v>611</v>
      </c>
      <c r="O329" s="168" t="s">
        <v>1075</v>
      </c>
      <c r="P329" s="168" t="s"/>
      <c r="Q329" s="171" t="s"/>
      <c r="R329" s="199" t="s"/>
      <c r="S329" s="199" t="s"/>
      <c r="T329" s="199" t="s"/>
      <c r="U329" s="199" t="s"/>
      <c r="V329" s="199" t="s"/>
      <c r="W329" s="199" t="s"/>
      <c r="X329" s="199" t="s"/>
      <c r="Y329" s="199" t="s"/>
      <c r="Z329" s="200" t="s"/>
      <c r="AA329" s="200" t="s"/>
      <c r="AB329" s="200" t="s"/>
      <c r="AC329" s="200" t="s"/>
      <c r="AD329" s="200" t="s"/>
      <c r="AE329" s="200" t="s"/>
      <c r="AF329" s="200" t="s"/>
      <c r="AG329" s="200" t="s"/>
      <c r="AH329" s="200" t="s"/>
      <c r="AI329" s="200" t="s"/>
      <c r="AJ329" s="200" t="s"/>
      <c r="AK329" s="200" t="s"/>
      <c r="AL329" s="200" t="s"/>
      <c r="AM329" s="200" t="s"/>
    </row>
    <row r="330" spans="1:39" s="431" customFormat="true">
      <c r="A330" s="97">
        <v>329</v>
      </c>
      <c r="B330" s="166" t="s">
        <v>161</v>
      </c>
      <c r="C330" s="162">
        <v>46111.5866087962</v>
      </c>
      <c r="D330" s="167">
        <v>12</v>
      </c>
      <c r="E330" s="120">
        <v>46111</v>
      </c>
      <c r="F330" s="168" t="s">
        <v>228</v>
      </c>
      <c r="G330" s="168" t="s">
        <v>1326</v>
      </c>
      <c r="H330" s="96" t="s">
        <v>12</v>
      </c>
      <c r="I330" s="166" t="s">
        <v>609</v>
      </c>
      <c r="J330" s="97" t="s">
        <f>=_xlfn.TEXTJOIN("+",TRUE,_xlfn._xlws.FILTER(_xlfn.TEXTSPLIT(H330,,"+"),(_xlfn.TEXTSPLIT(H330,,"+")&lt;&gt;"埃米工具")*(_xlfn.TEXTSPLIT(H330,,"+")&lt;&gt;"埃米广告通")))</f>
        <v>12</v>
      </c>
      <c r="K330" s="109">
        <f>=EDATE(C330,D330)</f>
        <v>46476</v>
      </c>
      <c r="L330" s="168" t="s"/>
      <c r="M330" s="128" t="s"/>
      <c r="N330" s="101" t="s">
        <v>611</v>
      </c>
      <c r="O330" s="168" t="s"/>
      <c r="P330" s="168" t="s">
        <v>1327</v>
      </c>
      <c r="Q330" s="171" t="s"/>
      <c r="R330" s="199" t="s"/>
      <c r="S330" s="199" t="s"/>
      <c r="T330" s="199" t="s"/>
      <c r="U330" s="199" t="s"/>
      <c r="V330" s="199" t="s"/>
      <c r="W330" s="199" t="s"/>
      <c r="X330" s="199" t="s"/>
      <c r="Y330" s="199" t="s"/>
      <c r="Z330" s="109" t="s"/>
      <c r="AA330" s="200" t="s"/>
      <c r="AB330" s="200" t="s"/>
      <c r="AC330" s="200" t="s"/>
      <c r="AD330" s="200" t="s"/>
      <c r="AE330" s="200" t="s"/>
      <c r="AF330" s="200" t="s"/>
      <c r="AG330" s="200" t="s"/>
      <c r="AH330" s="200" t="s"/>
      <c r="AI330" s="200" t="s"/>
      <c r="AJ330" s="200" t="s"/>
      <c r="AK330" s="200" t="s"/>
      <c r="AL330" s="200" t="s"/>
      <c r="AM330" s="200" t="s"/>
    </row>
    <row r="331" spans="1:39" s="431" customFormat="true">
      <c r="A331" s="97">
        <v>330</v>
      </c>
      <c r="B331" s="166" t="s">
        <v>162</v>
      </c>
      <c r="C331" s="162">
        <v>46111.6128935185</v>
      </c>
      <c r="D331" s="167">
        <v>12</v>
      </c>
      <c r="E331" s="120">
        <v>46111</v>
      </c>
      <c r="F331" s="168" t="s">
        <v>234</v>
      </c>
      <c r="G331" s="168" t="s">
        <v>1328</v>
      </c>
      <c r="H331" s="96" t="s">
        <v>606</v>
      </c>
      <c r="I331" s="166" t="s">
        <v>609</v>
      </c>
      <c r="J331" s="97" t="s">
        <f>=_xlfn.TEXTJOIN("+",TRUE,_xlfn._xlws.FILTER(_xlfn.TEXTSPLIT(H331,,"+"),(_xlfn.TEXTSPLIT(H331,,"+")&lt;&gt;"埃米工具")*(_xlfn.TEXTSPLIT(H331,,"+")&lt;&gt;"埃米广告通")))</f>
        <v>15</v>
      </c>
      <c r="K331" s="109">
        <f>=EDATE(C331,D331)</f>
        <v>46476</v>
      </c>
      <c r="L331" s="191">
        <v>46112</v>
      </c>
      <c r="M331" s="128" t="s">
        <v>705</v>
      </c>
      <c r="N331" s="96" t="s">
        <v>611</v>
      </c>
      <c r="O331" s="168" t="s">
        <v>1075</v>
      </c>
      <c r="P331" s="168" t="s"/>
      <c r="Q331" s="171" t="s"/>
      <c r="R331" s="199" t="s"/>
      <c r="S331" s="199" t="s"/>
      <c r="T331" s="199" t="s"/>
      <c r="U331" s="199" t="s"/>
      <c r="V331" s="199" t="s"/>
      <c r="W331" s="199" t="s"/>
      <c r="X331" s="199" t="s"/>
      <c r="Y331" s="199" t="s"/>
      <c r="Z331" s="200" t="s"/>
      <c r="AA331" s="200" t="s"/>
      <c r="AB331" s="200" t="s"/>
      <c r="AC331" s="200" t="s"/>
      <c r="AD331" s="200" t="s"/>
      <c r="AE331" s="200" t="s"/>
      <c r="AF331" s="200" t="s"/>
      <c r="AG331" s="200" t="s"/>
      <c r="AH331" s="200" t="s"/>
      <c r="AI331" s="200" t="s"/>
      <c r="AJ331" s="200" t="s"/>
      <c r="AK331" s="200" t="s"/>
      <c r="AL331" s="200" t="s"/>
      <c r="AM331" s="200" t="s"/>
    </row>
    <row r="332" spans="1:39" s="256" customFormat="true">
      <c r="A332" s="97">
        <v>331</v>
      </c>
      <c r="B332" s="166" t="s">
        <v>1329</v>
      </c>
      <c r="C332" s="162">
        <v>46111.6350231482</v>
      </c>
      <c r="D332" s="167">
        <v>12</v>
      </c>
      <c r="E332" s="120">
        <v>46111</v>
      </c>
      <c r="F332" s="168" t="s">
        <v>228</v>
      </c>
      <c r="G332" s="168" t="s">
        <v>1330</v>
      </c>
      <c r="H332" s="96" t="s">
        <v>607</v>
      </c>
      <c r="I332" s="166" t="s">
        <v>609</v>
      </c>
      <c r="J332" s="97" t="s">
        <f>=_xlfn.TEXTJOIN("+",TRUE,_xlfn._xlws.FILTER(_xlfn.TEXTSPLIT(H332,,"+"),(_xlfn.TEXTSPLIT(H332,,"+")&lt;&gt;"埃米工具")*(_xlfn.TEXTSPLIT(H332,,"+")&lt;&gt;"埃米广告通")))</f>
        <v>607</v>
      </c>
      <c r="K332" s="109">
        <f>=EDATE(C332,D332)</f>
        <v>46476</v>
      </c>
      <c r="L332" s="168" t="s"/>
      <c r="M332" s="128" t="s"/>
      <c r="N332" s="96" t="s">
        <v>611</v>
      </c>
      <c r="O332" s="168" t="s">
        <v>1331</v>
      </c>
      <c r="P332" s="168" t="s"/>
      <c r="Q332" s="171" t="s"/>
      <c r="R332" s="199" t="s"/>
      <c r="S332" s="199" t="s"/>
      <c r="T332" s="199" t="s"/>
      <c r="U332" s="199" t="s"/>
      <c r="V332" s="199" t="s"/>
      <c r="W332" s="199" t="s"/>
      <c r="X332" s="199" t="s"/>
      <c r="Y332" s="199" t="s"/>
      <c r="Z332" s="200" t="s"/>
      <c r="AA332" s="200" t="s"/>
      <c r="AB332" s="200" t="s"/>
      <c r="AC332" s="200" t="s"/>
      <c r="AD332" s="200" t="s"/>
      <c r="AE332" s="200" t="s"/>
      <c r="AF332" s="200" t="s"/>
      <c r="AG332" s="200" t="s"/>
      <c r="AH332" s="200" t="s"/>
      <c r="AI332" s="200" t="s"/>
      <c r="AJ332" s="200" t="s"/>
      <c r="AK332" s="200" t="s"/>
      <c r="AL332" s="200" t="s"/>
      <c r="AM332" s="200" t="s"/>
    </row>
    <row r="333" spans="1:39" s="256" customFormat="true">
      <c r="A333" s="97">
        <v>332</v>
      </c>
      <c r="B333" s="166" t="s">
        <v>444</v>
      </c>
      <c r="C333" s="162">
        <v>46111.6563541667</v>
      </c>
      <c r="D333" s="167">
        <v>12</v>
      </c>
      <c r="E333" s="118">
        <v>46111</v>
      </c>
      <c r="F333" s="168" t="s">
        <v>224</v>
      </c>
      <c r="G333" s="179" t="s">
        <v>1332</v>
      </c>
      <c r="H333" s="96" t="s">
        <v>607</v>
      </c>
      <c r="I333" s="166" t="s">
        <v>609</v>
      </c>
      <c r="J333" s="97" t="s">
        <f>=_xlfn.TEXTJOIN("+",TRUE,_xlfn._xlws.FILTER(_xlfn.TEXTSPLIT(H333,,"+"),(_xlfn.TEXTSPLIT(H333,,"+")&lt;&gt;"埃米工具")*(_xlfn.TEXTSPLIT(H333,,"+")&lt;&gt;"埃米广告通")))</f>
        <v>607</v>
      </c>
      <c r="K333" s="109">
        <f>=EDATE(C333,D333)</f>
        <v>46476</v>
      </c>
      <c r="L333" s="168" t="s"/>
      <c r="M333" s="128" t="s"/>
      <c r="N333" s="95" t="s">
        <v>611</v>
      </c>
      <c r="O333" s="168" t="s">
        <v>1333</v>
      </c>
      <c r="P333" s="168" t="s"/>
      <c r="Q333" s="171" t="s"/>
      <c r="R333" s="199" t="s"/>
      <c r="S333" s="199" t="s"/>
      <c r="T333" s="199" t="s"/>
      <c r="U333" s="199" t="s"/>
      <c r="V333" s="199" t="s"/>
      <c r="W333" s="199" t="s"/>
      <c r="X333" s="199" t="s"/>
      <c r="Y333" s="199" t="s"/>
      <c r="Z333" s="200" t="s"/>
      <c r="AA333" s="200" t="s"/>
      <c r="AB333" s="200" t="s"/>
      <c r="AC333" s="200" t="s"/>
      <c r="AD333" s="200" t="s"/>
      <c r="AE333" s="200" t="s"/>
      <c r="AF333" s="200" t="s"/>
      <c r="AG333" s="200" t="s"/>
      <c r="AH333" s="200" t="s"/>
      <c r="AI333" s="200" t="s"/>
      <c r="AJ333" s="200" t="s"/>
      <c r="AK333" s="200" t="s"/>
      <c r="AL333" s="200" t="s"/>
      <c r="AM333" s="200" t="s"/>
    </row>
    <row r="334" spans="1:39" s="431" customFormat="true">
      <c r="A334" s="97">
        <v>333</v>
      </c>
      <c r="B334" s="165" t="s">
        <v>391</v>
      </c>
      <c r="C334" s="162">
        <v>46111.6861574074</v>
      </c>
      <c r="D334" s="167">
        <v>12</v>
      </c>
      <c r="E334" s="118">
        <v>46111</v>
      </c>
      <c r="F334" s="168" t="s">
        <v>228</v>
      </c>
      <c r="G334" s="168" t="s">
        <v>1334</v>
      </c>
      <c r="H334" s="96" t="s">
        <v>607</v>
      </c>
      <c r="I334" s="166" t="s">
        <v>609</v>
      </c>
      <c r="J334" s="97" t="s">
        <f>=_xlfn.TEXTJOIN("+",TRUE,_xlfn._xlws.FILTER(_xlfn.TEXTSPLIT(H334,,"+"),(_xlfn.TEXTSPLIT(H334,,"+")&lt;&gt;"埃米工具")*(_xlfn.TEXTSPLIT(H334,,"+")&lt;&gt;"埃米广告通")))</f>
        <v>607</v>
      </c>
      <c r="K334" s="109">
        <f>=EDATE(C334,D334)</f>
        <v>46476</v>
      </c>
      <c r="L334" s="168" t="s"/>
      <c r="M334" s="128" t="s"/>
      <c r="N334" s="96" t="s">
        <v>611</v>
      </c>
      <c r="O334" s="168" t="s">
        <v>1075</v>
      </c>
      <c r="P334" s="168" t="s"/>
      <c r="Q334" s="171" t="s"/>
      <c r="R334" s="199" t="s"/>
      <c r="S334" s="199" t="s"/>
      <c r="T334" s="199" t="s"/>
      <c r="U334" s="199" t="s"/>
      <c r="V334" s="199" t="s"/>
      <c r="W334" s="199" t="s"/>
      <c r="X334" s="199" t="s"/>
      <c r="Y334" s="199" t="s"/>
      <c r="Z334" s="200" t="s"/>
      <c r="AA334" s="200" t="s"/>
      <c r="AB334" s="200" t="s"/>
      <c r="AC334" s="200" t="s"/>
      <c r="AD334" s="200" t="s"/>
      <c r="AE334" s="200" t="s"/>
      <c r="AF334" s="200" t="s"/>
      <c r="AG334" s="200" t="s"/>
      <c r="AH334" s="200" t="s"/>
      <c r="AI334" s="200" t="s"/>
      <c r="AJ334" s="200" t="s"/>
      <c r="AK334" s="200" t="s"/>
      <c r="AL334" s="200" t="s"/>
      <c r="AM334" s="200" t="s"/>
    </row>
    <row r="335" spans="1:39" s="429" customFormat="true">
      <c r="A335" s="97">
        <v>334</v>
      </c>
      <c r="B335" s="168" t="s">
        <v>386</v>
      </c>
      <c r="C335" s="162">
        <v>46111.7552546296</v>
      </c>
      <c r="D335" s="167">
        <v>12</v>
      </c>
      <c r="E335" s="120">
        <v>46112</v>
      </c>
      <c r="F335" s="168" t="s">
        <v>228</v>
      </c>
      <c r="G335" s="168" t="s">
        <v>1335</v>
      </c>
      <c r="H335" s="96" t="s">
        <v>607</v>
      </c>
      <c r="I335" s="166" t="s">
        <v>609</v>
      </c>
      <c r="J335" s="97" t="s">
        <f>=_xlfn.TEXTJOIN("+",TRUE,_xlfn._xlws.FILTER(_xlfn.TEXTSPLIT(H335,,"+"),(_xlfn.TEXTSPLIT(H335,,"+")&lt;&gt;"埃米工具")*(_xlfn.TEXTSPLIT(H335,,"+")&lt;&gt;"埃米广告通")))</f>
        <v>607</v>
      </c>
      <c r="K335" s="109">
        <f>=EDATE(C335,D335)</f>
        <v>46476</v>
      </c>
      <c r="L335" s="168" t="s"/>
      <c r="M335" s="128" t="s"/>
      <c r="N335" s="96" t="s">
        <v>611</v>
      </c>
      <c r="O335" s="168" t="s">
        <v>1075</v>
      </c>
      <c r="P335" s="168" t="s"/>
      <c r="Q335" s="171" t="s"/>
      <c r="R335" s="199" t="s"/>
      <c r="S335" s="199" t="s"/>
      <c r="T335" s="199" t="s"/>
      <c r="U335" s="199" t="s"/>
      <c r="V335" s="199" t="s"/>
      <c r="W335" s="199" t="s"/>
      <c r="X335" s="199" t="s"/>
      <c r="Y335" s="199" t="s"/>
      <c r="Z335" s="200" t="s"/>
      <c r="AA335" s="200" t="s"/>
      <c r="AB335" s="200" t="s"/>
      <c r="AC335" s="200" t="s"/>
      <c r="AD335" s="200" t="s"/>
      <c r="AE335" s="200" t="s"/>
      <c r="AF335" s="200" t="s"/>
      <c r="AG335" s="200" t="s"/>
      <c r="AH335" s="200" t="s"/>
      <c r="AI335" s="200" t="s"/>
      <c r="AJ335" s="200" t="s"/>
      <c r="AK335" s="200" t="s"/>
      <c r="AL335" s="200" t="s"/>
      <c r="AM335" s="200" t="s"/>
    </row>
    <row r="336" spans="1:39" s="429" customFormat="true">
      <c r="A336" s="97">
        <v>335</v>
      </c>
      <c r="B336" s="168" t="s">
        <v>1336</v>
      </c>
      <c r="C336" s="162">
        <v>46111.7342939815</v>
      </c>
      <c r="D336" s="167">
        <v>12</v>
      </c>
      <c r="E336" s="120">
        <v>46112</v>
      </c>
      <c r="F336" s="152" t="s">
        <v>224</v>
      </c>
      <c r="G336" s="168" t="s">
        <v>1337</v>
      </c>
      <c r="H336" s="96" t="s">
        <v>607</v>
      </c>
      <c r="I336" s="166" t="s">
        <v>726</v>
      </c>
      <c r="J336" s="97" t="s">
        <f>=_xlfn.TEXTJOIN("+",TRUE,_xlfn._xlws.FILTER(_xlfn.TEXTSPLIT(H336,,"+"),(_xlfn.TEXTSPLIT(H336,,"+")&lt;&gt;"埃米工具")*(_xlfn.TEXTSPLIT(H336,,"+")&lt;&gt;"埃米广告通")))</f>
        <v>607</v>
      </c>
      <c r="K336" s="109">
        <f>=EDATE(C336,D336)</f>
        <v>46476</v>
      </c>
      <c r="L336" s="168" t="s"/>
      <c r="M336" s="128" t="s"/>
      <c r="N336" s="168" t="s"/>
      <c r="O336" s="168" t="s"/>
      <c r="P336" s="170" t="s">
        <v>1338</v>
      </c>
      <c r="Q336" s="171" t="s"/>
      <c r="R336" s="199" t="s"/>
      <c r="S336" s="199" t="s"/>
      <c r="T336" s="199" t="s"/>
      <c r="U336" s="199" t="s"/>
      <c r="V336" s="199" t="s"/>
      <c r="W336" s="199" t="s"/>
      <c r="X336" s="199" t="s"/>
      <c r="Y336" s="199" t="s"/>
      <c r="Z336" s="109" t="s"/>
      <c r="AA336" s="200" t="s"/>
      <c r="AB336" s="200" t="s"/>
      <c r="AC336" s="200" t="s"/>
      <c r="AD336" s="200" t="s"/>
      <c r="AE336" s="200" t="s"/>
      <c r="AF336" s="200" t="s"/>
      <c r="AG336" s="200" t="s"/>
      <c r="AH336" s="200" t="s"/>
      <c r="AI336" s="200" t="s"/>
      <c r="AJ336" s="200" t="s"/>
      <c r="AK336" s="200" t="s"/>
      <c r="AL336" s="200" t="s"/>
      <c r="AM336" s="200" t="s"/>
    </row>
    <row r="337" spans="1:39" s="429" customFormat="true">
      <c r="A337" s="97">
        <v>336</v>
      </c>
      <c r="B337" s="168" t="s">
        <v>164</v>
      </c>
      <c r="C337" s="162">
        <v>46111.7207291667</v>
      </c>
      <c r="D337" s="167">
        <v>12</v>
      </c>
      <c r="E337" s="120">
        <v>46112</v>
      </c>
      <c r="F337" s="168" t="s">
        <v>228</v>
      </c>
      <c r="G337" s="168" t="s">
        <v>1339</v>
      </c>
      <c r="H337" s="96" t="s">
        <v>12</v>
      </c>
      <c r="I337" s="166" t="s">
        <v>609</v>
      </c>
      <c r="J337" s="97" t="s">
        <f>=_xlfn.TEXTJOIN("+",TRUE,_xlfn._xlws.FILTER(_xlfn.TEXTSPLIT(H337,,"+"),(_xlfn.TEXTSPLIT(H337,,"+")&lt;&gt;"埃米工具")*(_xlfn.TEXTSPLIT(H337,,"+")&lt;&gt;"埃米广告通")))</f>
        <v>12</v>
      </c>
      <c r="K337" s="109">
        <f>=EDATE(C337,D337)</f>
        <v>46476</v>
      </c>
      <c r="L337" s="191">
        <v>46126</v>
      </c>
      <c r="M337" s="208" t="s">
        <v>1340</v>
      </c>
      <c r="N337" s="96" t="s">
        <v>611</v>
      </c>
      <c r="O337" s="168" t="s"/>
      <c r="P337" s="168" t="s">
        <v>1341</v>
      </c>
      <c r="Q337" s="171" t="s"/>
      <c r="R337" s="199" t="s"/>
      <c r="S337" s="199" t="s"/>
      <c r="T337" s="199" t="s"/>
      <c r="U337" s="199" t="s"/>
      <c r="V337" s="199" t="s"/>
      <c r="W337" s="199" t="s"/>
      <c r="X337" s="199" t="s"/>
      <c r="Y337" s="199" t="s"/>
      <c r="Z337" s="109" t="s"/>
      <c r="AA337" s="200" t="s"/>
      <c r="AB337" s="200" t="s"/>
      <c r="AC337" s="200" t="s"/>
      <c r="AD337" s="200" t="s"/>
      <c r="AE337" s="200" t="s"/>
      <c r="AF337" s="200" t="s"/>
      <c r="AG337" s="200" t="s"/>
      <c r="AH337" s="200" t="s"/>
      <c r="AI337" s="200" t="s"/>
      <c r="AJ337" s="200" t="s"/>
      <c r="AK337" s="200" t="s"/>
      <c r="AL337" s="200" t="s"/>
      <c r="AM337" s="200" t="s"/>
    </row>
    <row r="338" spans="1:39" s="429" customFormat="true">
      <c r="A338" s="97">
        <v>337</v>
      </c>
      <c r="B338" s="168" t="s">
        <v>407</v>
      </c>
      <c r="C338" s="162">
        <v>46111.755787037</v>
      </c>
      <c r="D338" s="167">
        <v>12</v>
      </c>
      <c r="E338" s="120">
        <v>46112</v>
      </c>
      <c r="F338" s="168" t="s">
        <v>228</v>
      </c>
      <c r="G338" s="168" t="s">
        <v>1342</v>
      </c>
      <c r="H338" s="96" t="s">
        <v>607</v>
      </c>
      <c r="I338" s="166" t="s">
        <v>609</v>
      </c>
      <c r="J338" s="97" t="s">
        <f>=_xlfn.TEXTJOIN("+",TRUE,_xlfn._xlws.FILTER(_xlfn.TEXTSPLIT(H338,,"+"),(_xlfn.TEXTSPLIT(H338,,"+")&lt;&gt;"埃米工具")*(_xlfn.TEXTSPLIT(H338,,"+")&lt;&gt;"埃米广告通")))</f>
        <v>607</v>
      </c>
      <c r="K338" s="109">
        <f>=EDATE(C338,D338)</f>
        <v>46476</v>
      </c>
      <c r="L338" s="168" t="s"/>
      <c r="M338" s="128" t="s"/>
      <c r="N338" s="96" t="s">
        <v>611</v>
      </c>
      <c r="O338" s="168" t="s">
        <v>1075</v>
      </c>
      <c r="P338" s="168" t="s"/>
      <c r="Q338" s="171" t="s"/>
      <c r="R338" s="199" t="s"/>
      <c r="S338" s="199" t="s"/>
      <c r="T338" s="199" t="s"/>
      <c r="U338" s="199" t="s"/>
      <c r="V338" s="199" t="s"/>
      <c r="W338" s="199" t="s"/>
      <c r="X338" s="199" t="s"/>
      <c r="Y338" s="199" t="s"/>
      <c r="Z338" s="200" t="s"/>
      <c r="AA338" s="200" t="s"/>
      <c r="AB338" s="200" t="s"/>
      <c r="AC338" s="200" t="s"/>
      <c r="AD338" s="200" t="s"/>
      <c r="AE338" s="200" t="s"/>
      <c r="AF338" s="200" t="s"/>
      <c r="AG338" s="200" t="s"/>
      <c r="AH338" s="200" t="s"/>
      <c r="AI338" s="200" t="s"/>
      <c r="AJ338" s="200" t="s"/>
      <c r="AK338" s="200" t="s"/>
      <c r="AL338" s="200" t="s"/>
      <c r="AM338" s="200" t="s"/>
    </row>
    <row r="339" spans="1:39" s="429" customFormat="true">
      <c r="A339" s="97">
        <v>338</v>
      </c>
      <c r="B339" s="168" t="s">
        <v>1343</v>
      </c>
      <c r="C339" s="162">
        <v>46111.7228125</v>
      </c>
      <c r="D339" s="167">
        <v>12</v>
      </c>
      <c r="E339" s="120">
        <v>46112</v>
      </c>
      <c r="F339" s="168" t="s">
        <v>236</v>
      </c>
      <c r="G339" s="168" t="s">
        <v>1344</v>
      </c>
      <c r="H339" s="96" t="s">
        <v>607</v>
      </c>
      <c r="I339" s="166" t="s">
        <v>609</v>
      </c>
      <c r="J339" s="97" t="s">
        <f>=_xlfn.TEXTJOIN("+",TRUE,_xlfn._xlws.FILTER(_xlfn.TEXTSPLIT(H339,,"+"),(_xlfn.TEXTSPLIT(H339,,"+")&lt;&gt;"埃米工具")*(_xlfn.TEXTSPLIT(H339,,"+")&lt;&gt;"埃米广告通")))</f>
        <v>607</v>
      </c>
      <c r="K339" s="109">
        <f>=EDATE(C339,D339)</f>
        <v>46476</v>
      </c>
      <c r="L339" s="168" t="s"/>
      <c r="M339" s="128" t="s"/>
      <c r="N339" s="96" t="s">
        <v>611</v>
      </c>
      <c r="O339" s="168" t="s">
        <v>1345</v>
      </c>
      <c r="P339" s="168" t="s"/>
      <c r="Q339" s="171" t="s"/>
      <c r="R339" s="199" t="s"/>
      <c r="S339" s="199" t="s"/>
      <c r="T339" s="199" t="s"/>
      <c r="U339" s="199" t="s"/>
      <c r="V339" s="199" t="s"/>
      <c r="W339" s="199" t="s"/>
      <c r="X339" s="199" t="s"/>
      <c r="Y339" s="199" t="s"/>
      <c r="Z339" s="109" t="s"/>
      <c r="AA339" s="200" t="s"/>
      <c r="AB339" s="200" t="s"/>
      <c r="AC339" s="200" t="s"/>
      <c r="AD339" s="200" t="s"/>
      <c r="AE339" s="200" t="s"/>
      <c r="AF339" s="200" t="s"/>
      <c r="AG339" s="200" t="s"/>
      <c r="AH339" s="200" t="s"/>
      <c r="AI339" s="200" t="s"/>
      <c r="AJ339" s="200" t="s"/>
      <c r="AK339" s="200" t="s"/>
      <c r="AL339" s="200" t="s"/>
      <c r="AM339" s="200" t="s"/>
    </row>
    <row r="340" spans="1:39" s="429" customFormat="true">
      <c r="A340" s="97">
        <v>339</v>
      </c>
      <c r="B340" s="168" t="s">
        <v>1346</v>
      </c>
      <c r="C340" s="162">
        <v>46111.7180208333</v>
      </c>
      <c r="D340" s="167">
        <v>12</v>
      </c>
      <c r="E340" s="120">
        <v>46112</v>
      </c>
      <c r="F340" s="168" t="s">
        <v>234</v>
      </c>
      <c r="G340" s="168" t="s">
        <v>1347</v>
      </c>
      <c r="H340" s="96" t="s">
        <v>607</v>
      </c>
      <c r="I340" s="166" t="s">
        <v>609</v>
      </c>
      <c r="J340" s="97" t="s">
        <f>=_xlfn.TEXTJOIN("+",TRUE,_xlfn._xlws.FILTER(_xlfn.TEXTSPLIT(H340,,"+"),(_xlfn.TEXTSPLIT(H340,,"+")&lt;&gt;"埃米工具")*(_xlfn.TEXTSPLIT(H340,,"+")&lt;&gt;"埃米广告通")))</f>
        <v>607</v>
      </c>
      <c r="K340" s="109">
        <f>=EDATE(C340,D340)</f>
        <v>46476</v>
      </c>
      <c r="L340" s="168" t="s"/>
      <c r="M340" s="128" t="s"/>
      <c r="N340" s="96" t="s">
        <v>611</v>
      </c>
      <c r="O340" s="168" t="s">
        <v>1075</v>
      </c>
      <c r="P340" s="168" t="s"/>
      <c r="Q340" s="171" t="s"/>
      <c r="R340" s="199" t="s"/>
      <c r="S340" s="199" t="s"/>
      <c r="T340" s="199" t="s"/>
      <c r="U340" s="199" t="s"/>
      <c r="V340" s="199" t="s"/>
      <c r="W340" s="199" t="s"/>
      <c r="X340" s="199" t="s"/>
      <c r="Y340" s="199" t="s"/>
      <c r="Z340" s="200" t="s"/>
      <c r="AA340" s="200" t="s"/>
      <c r="AB340" s="200" t="s"/>
      <c r="AC340" s="200" t="s"/>
      <c r="AD340" s="200" t="s"/>
      <c r="AE340" s="200" t="s"/>
      <c r="AF340" s="200" t="s"/>
      <c r="AG340" s="200" t="s"/>
      <c r="AH340" s="200" t="s"/>
      <c r="AI340" s="200" t="s"/>
      <c r="AJ340" s="200" t="s"/>
      <c r="AK340" s="200" t="s"/>
      <c r="AL340" s="200" t="s"/>
      <c r="AM340" s="200" t="s"/>
    </row>
    <row r="341" spans="1:39" s="429" customFormat="true">
      <c r="A341" s="97">
        <v>340</v>
      </c>
      <c r="B341" s="168" t="s">
        <v>1348</v>
      </c>
      <c r="C341" s="162">
        <v>46111.7877314815</v>
      </c>
      <c r="D341" s="167">
        <v>12</v>
      </c>
      <c r="E341" s="120">
        <v>46112</v>
      </c>
      <c r="F341" s="168" t="s">
        <v>215</v>
      </c>
      <c r="G341" s="168" t="s">
        <v>1349</v>
      </c>
      <c r="H341" s="96" t="s">
        <v>607</v>
      </c>
      <c r="I341" s="166" t="s">
        <v>609</v>
      </c>
      <c r="J341" s="97" t="s">
        <f>=_xlfn.TEXTJOIN("+",TRUE,_xlfn._xlws.FILTER(_xlfn.TEXTSPLIT(H341,,"+"),(_xlfn.TEXTSPLIT(H341,,"+")&lt;&gt;"埃米工具")*(_xlfn.TEXTSPLIT(H341,,"+")&lt;&gt;"埃米广告通")))</f>
        <v>607</v>
      </c>
      <c r="K341" s="109">
        <f>=EDATE(C341,D341)</f>
        <v>46476</v>
      </c>
      <c r="L341" s="168" t="s"/>
      <c r="M341" s="128" t="s"/>
      <c r="N341" s="96" t="s">
        <v>611</v>
      </c>
      <c r="O341" s="205" t="s">
        <v>1075</v>
      </c>
      <c r="P341" s="168" t="s"/>
      <c r="Q341" s="171" t="s"/>
      <c r="R341" s="199" t="s"/>
      <c r="S341" s="199" t="s"/>
      <c r="T341" s="199" t="s"/>
      <c r="U341" s="199" t="s"/>
      <c r="V341" s="199" t="s"/>
      <c r="W341" s="199" t="s"/>
      <c r="X341" s="199" t="s"/>
      <c r="Y341" s="199" t="s"/>
      <c r="Z341" s="200" t="s"/>
      <c r="AA341" s="200" t="s"/>
      <c r="AB341" s="200" t="s"/>
      <c r="AC341" s="200" t="s"/>
      <c r="AD341" s="200" t="s"/>
      <c r="AE341" s="200" t="s"/>
      <c r="AF341" s="200" t="s"/>
      <c r="AG341" s="200" t="s"/>
      <c r="AH341" s="200" t="s"/>
      <c r="AI341" s="200" t="s"/>
      <c r="AJ341" s="200" t="s"/>
      <c r="AK341" s="200" t="s"/>
      <c r="AL341" s="200" t="s"/>
      <c r="AM341" s="200" t="s"/>
    </row>
    <row r="342" spans="1:39" s="429" customFormat="true">
      <c r="A342" s="97">
        <v>341</v>
      </c>
      <c r="B342" s="168" t="s">
        <v>165</v>
      </c>
      <c r="C342" s="162">
        <v>46111.7503703704</v>
      </c>
      <c r="D342" s="167">
        <v>12</v>
      </c>
      <c r="E342" s="120">
        <v>46112</v>
      </c>
      <c r="F342" s="168" t="s">
        <v>234</v>
      </c>
      <c r="G342" s="168" t="s">
        <v>1350</v>
      </c>
      <c r="H342" s="96" t="s">
        <v>12</v>
      </c>
      <c r="I342" s="166" t="s">
        <v>609</v>
      </c>
      <c r="J342" s="97" t="s">
        <f>=_xlfn.TEXTJOIN("+",TRUE,_xlfn._xlws.FILTER(_xlfn.TEXTSPLIT(H342,,"+"),(_xlfn.TEXTSPLIT(H342,,"+")&lt;&gt;"埃米工具")*(_xlfn.TEXTSPLIT(H342,,"+")&lt;&gt;"埃米广告通")))</f>
        <v>12</v>
      </c>
      <c r="K342" s="109">
        <f>=EDATE(C342,D342)</f>
        <v>46476</v>
      </c>
      <c r="L342" s="168" t="s"/>
      <c r="M342" s="128" t="s"/>
      <c r="N342" s="96" t="s">
        <v>611</v>
      </c>
      <c r="O342" s="168" t="s">
        <v>1075</v>
      </c>
      <c r="P342" s="168" t="s"/>
      <c r="Q342" s="171" t="s"/>
      <c r="R342" s="199" t="s"/>
      <c r="S342" s="199" t="s"/>
      <c r="T342" s="199" t="s"/>
      <c r="U342" s="199" t="s"/>
      <c r="V342" s="199" t="s"/>
      <c r="W342" s="199" t="s"/>
      <c r="X342" s="199" t="s"/>
      <c r="Y342" s="199" t="s"/>
      <c r="Z342" s="200" t="s"/>
      <c r="AA342" s="200" t="s"/>
      <c r="AB342" s="200" t="s"/>
      <c r="AC342" s="200" t="s"/>
      <c r="AD342" s="200" t="s"/>
      <c r="AE342" s="200" t="s"/>
      <c r="AF342" s="200" t="s"/>
      <c r="AG342" s="200" t="s"/>
      <c r="AH342" s="200" t="s"/>
      <c r="AI342" s="200" t="s"/>
      <c r="AJ342" s="200" t="s"/>
      <c r="AK342" s="200" t="s"/>
      <c r="AL342" s="200" t="s"/>
      <c r="AM342" s="200" t="s"/>
    </row>
    <row r="343" spans="1:39" s="431" customFormat="true">
      <c r="A343" s="97">
        <v>342</v>
      </c>
      <c r="B343" s="166" t="s">
        <v>395</v>
      </c>
      <c r="C343" s="162">
        <v>46112.3965046296</v>
      </c>
      <c r="D343" s="167">
        <v>12</v>
      </c>
      <c r="E343" s="118">
        <v>46112</v>
      </c>
      <c r="F343" s="168" t="s">
        <v>224</v>
      </c>
      <c r="G343" s="168" t="s">
        <v>1351</v>
      </c>
      <c r="H343" s="96" t="s">
        <v>607</v>
      </c>
      <c r="I343" s="166" t="s">
        <v>646</v>
      </c>
      <c r="J343" s="97" t="s">
        <f>=_xlfn.TEXTJOIN("+",TRUE,_xlfn._xlws.FILTER(_xlfn.TEXTSPLIT(H343,,"+"),(_xlfn.TEXTSPLIT(H343,,"+")&lt;&gt;"埃米工具")*(_xlfn.TEXTSPLIT(H343,,"+")&lt;&gt;"埃米广告通")))</f>
        <v>607</v>
      </c>
      <c r="K343" s="109">
        <f>=EDATE(C343,D343)</f>
        <v>46477</v>
      </c>
      <c r="L343" s="168" t="s"/>
      <c r="M343" s="128" t="s"/>
      <c r="N343" s="96" t="s">
        <v>611</v>
      </c>
      <c r="O343" s="168" t="s">
        <v>1352</v>
      </c>
      <c r="P343" s="168" t="s"/>
      <c r="Q343" s="171" t="s"/>
      <c r="R343" s="199" t="s"/>
      <c r="S343" s="199" t="s"/>
      <c r="T343" s="199" t="s"/>
      <c r="U343" s="199" t="s"/>
      <c r="V343" s="199" t="s"/>
      <c r="W343" s="199" t="s"/>
      <c r="X343" s="199" t="s"/>
      <c r="Y343" s="199" t="s"/>
      <c r="Z343" s="200" t="s"/>
      <c r="AA343" s="200" t="s"/>
      <c r="AB343" s="200" t="s"/>
      <c r="AC343" s="200" t="s"/>
      <c r="AD343" s="200" t="s"/>
      <c r="AE343" s="200" t="s"/>
      <c r="AF343" s="200" t="s"/>
      <c r="AG343" s="200" t="s"/>
      <c r="AH343" s="200" t="s"/>
      <c r="AI343" s="200" t="s"/>
      <c r="AJ343" s="200" t="s"/>
      <c r="AK343" s="200" t="s"/>
      <c r="AL343" s="200" t="s"/>
      <c r="AM343" s="200" t="s"/>
    </row>
    <row r="344" spans="1:39" s="426" customFormat="true">
      <c r="A344" s="97">
        <v>343</v>
      </c>
      <c r="B344" s="168" t="s">
        <v>167</v>
      </c>
      <c r="C344" s="162">
        <v>46112.4471180556</v>
      </c>
      <c r="D344" s="167">
        <v>12</v>
      </c>
      <c r="E344" s="120">
        <v>46112</v>
      </c>
      <c r="F344" s="168" t="s">
        <v>224</v>
      </c>
      <c r="G344" s="168" t="s">
        <v>1353</v>
      </c>
      <c r="H344" s="96" t="s">
        <v>12</v>
      </c>
      <c r="I344" s="166" t="s">
        <v>609</v>
      </c>
      <c r="J344" s="97" t="s">
        <f>=_xlfn.TEXTJOIN("+",TRUE,_xlfn._xlws.FILTER(_xlfn.TEXTSPLIT(H344,,"+"),(_xlfn.TEXTSPLIT(H344,,"+")&lt;&gt;"埃米工具")*(_xlfn.TEXTSPLIT(H344,,"+")&lt;&gt;"埃米广告通")))</f>
        <v>12</v>
      </c>
      <c r="K344" s="109">
        <f>=EDATE(C344,D344)</f>
        <v>46477</v>
      </c>
      <c r="L344" s="191">
        <v>46120</v>
      </c>
      <c r="M344" s="128" t="s">
        <v>1151</v>
      </c>
      <c r="N344" s="96" t="s">
        <v>611</v>
      </c>
      <c r="O344" s="168" t="s"/>
      <c r="P344" s="168" t="s"/>
      <c r="Q344" s="171" t="s"/>
      <c r="R344" s="199" t="s"/>
      <c r="S344" s="199" t="s"/>
      <c r="T344" s="199" t="s"/>
      <c r="U344" s="199" t="s"/>
      <c r="V344" s="199" t="s"/>
      <c r="W344" s="199" t="s"/>
      <c r="X344" s="199" t="s"/>
      <c r="Y344" s="199" t="s"/>
      <c r="Z344" s="109" t="s"/>
      <c r="AA344" s="200" t="s"/>
      <c r="AB344" s="200" t="s"/>
      <c r="AC344" s="200" t="s"/>
      <c r="AD344" s="200" t="s"/>
      <c r="AE344" s="200" t="s"/>
      <c r="AF344" s="200" t="s"/>
      <c r="AG344" s="200" t="s"/>
      <c r="AH344" s="200" t="s"/>
      <c r="AI344" s="200" t="s"/>
      <c r="AJ344" s="200" t="s"/>
      <c r="AK344" s="200" t="s"/>
      <c r="AL344" s="200" t="s"/>
      <c r="AM344" s="200" t="s"/>
    </row>
    <row r="345" spans="1:39" s="426" customFormat="true">
      <c r="A345" s="97">
        <v>344</v>
      </c>
      <c r="B345" s="168" t="s">
        <v>168</v>
      </c>
      <c r="C345" s="162">
        <v>46112.4216898148</v>
      </c>
      <c r="D345" s="167">
        <v>12</v>
      </c>
      <c r="E345" s="120">
        <v>46112</v>
      </c>
      <c r="F345" s="168" t="s">
        <v>228</v>
      </c>
      <c r="G345" s="168" t="s">
        <v>1354</v>
      </c>
      <c r="H345" s="96" t="s">
        <v>12</v>
      </c>
      <c r="I345" s="166" t="s">
        <v>609</v>
      </c>
      <c r="J345" s="97" t="s">
        <f>=_xlfn.TEXTJOIN("+",TRUE,_xlfn._xlws.FILTER(_xlfn.TEXTSPLIT(H345,,"+"),(_xlfn.TEXTSPLIT(H345,,"+")&lt;&gt;"埃米工具")*(_xlfn.TEXTSPLIT(H345,,"+")&lt;&gt;"埃米广告通")))</f>
        <v>12</v>
      </c>
      <c r="K345" s="109">
        <f>=EDATE(C345,D345)</f>
        <v>46477</v>
      </c>
      <c r="L345" s="191">
        <v>46113</v>
      </c>
      <c r="M345" s="175" t="s">
        <v>953</v>
      </c>
      <c r="N345" s="96" t="s">
        <v>611</v>
      </c>
      <c r="O345" s="168" t="s">
        <v>1355</v>
      </c>
      <c r="P345" s="168" t="s"/>
      <c r="Q345" s="171" t="s"/>
      <c r="R345" s="199" t="s"/>
      <c r="S345" s="199" t="s"/>
      <c r="T345" s="199" t="s"/>
      <c r="U345" s="199" t="s"/>
      <c r="V345" s="199" t="s"/>
      <c r="W345" s="199" t="s"/>
      <c r="X345" s="199" t="s"/>
      <c r="Y345" s="199" t="s"/>
      <c r="Z345" s="109" t="s"/>
      <c r="AA345" s="200" t="s"/>
      <c r="AB345" s="200" t="s"/>
      <c r="AC345" s="200" t="s"/>
      <c r="AD345" s="200" t="s"/>
      <c r="AE345" s="200" t="s"/>
      <c r="AF345" s="200" t="s"/>
      <c r="AG345" s="200" t="s"/>
      <c r="AH345" s="200" t="s"/>
      <c r="AI345" s="200" t="s"/>
      <c r="AJ345" s="200" t="s"/>
      <c r="AK345" s="200" t="s"/>
      <c r="AL345" s="200" t="s"/>
      <c r="AM345" s="200" t="s"/>
    </row>
    <row r="346" spans="1:39" s="426" customFormat="true">
      <c r="A346" s="97">
        <v>345</v>
      </c>
      <c r="B346" s="168" t="s">
        <v>169</v>
      </c>
      <c r="C346" s="162">
        <v>46112.4152546296</v>
      </c>
      <c r="D346" s="167">
        <v>12</v>
      </c>
      <c r="E346" s="120">
        <v>46112</v>
      </c>
      <c r="F346" s="168" t="s">
        <v>215</v>
      </c>
      <c r="G346" s="168" t="s">
        <v>1356</v>
      </c>
      <c r="H346" s="96" t="s">
        <v>12</v>
      </c>
      <c r="I346" s="166" t="s">
        <v>609</v>
      </c>
      <c r="J346" s="97" t="s">
        <f>=_xlfn.TEXTJOIN("+",TRUE,_xlfn._xlws.FILTER(_xlfn.TEXTSPLIT(H346,,"+"),(_xlfn.TEXTSPLIT(H346,,"+")&lt;&gt;"埃米工具")*(_xlfn.TEXTSPLIT(H346,,"+")&lt;&gt;"埃米广告通")))</f>
        <v>12</v>
      </c>
      <c r="K346" s="109">
        <f>=EDATE(C346,D346)</f>
        <v>46477</v>
      </c>
      <c r="L346" s="191">
        <v>46112</v>
      </c>
      <c r="M346" s="168" t="s">
        <v>1357</v>
      </c>
      <c r="N346" s="96" t="s">
        <v>611</v>
      </c>
      <c r="O346" s="205" t="s">
        <v>1075</v>
      </c>
      <c r="P346" s="168" t="s"/>
      <c r="Q346" s="171" t="s"/>
      <c r="R346" s="199" t="s"/>
      <c r="S346" s="199" t="s"/>
      <c r="T346" s="199" t="s"/>
      <c r="U346" s="199" t="s"/>
      <c r="V346" s="199" t="s"/>
      <c r="W346" s="199" t="s"/>
      <c r="X346" s="199" t="s"/>
      <c r="Y346" s="199" t="s"/>
      <c r="Z346" s="200" t="s"/>
      <c r="AA346" s="200" t="s"/>
      <c r="AB346" s="200" t="s"/>
      <c r="AC346" s="200" t="s"/>
      <c r="AD346" s="200" t="s"/>
      <c r="AE346" s="200" t="s"/>
      <c r="AF346" s="200" t="s"/>
      <c r="AG346" s="200" t="s"/>
      <c r="AH346" s="200" t="s"/>
      <c r="AI346" s="200" t="s"/>
      <c r="AJ346" s="200" t="s"/>
      <c r="AK346" s="200" t="s"/>
      <c r="AL346" s="200" t="s"/>
      <c r="AM346" s="200" t="s"/>
    </row>
    <row r="347" spans="1:39" s="426" customFormat="true">
      <c r="A347" s="97">
        <v>346</v>
      </c>
      <c r="B347" s="168" t="s">
        <v>411</v>
      </c>
      <c r="C347" s="162">
        <v>46112.4057407407</v>
      </c>
      <c r="D347" s="167">
        <v>12</v>
      </c>
      <c r="E347" s="120">
        <v>46112</v>
      </c>
      <c r="F347" s="168" t="s">
        <v>228</v>
      </c>
      <c r="G347" s="168" t="s">
        <v>1358</v>
      </c>
      <c r="H347" s="96" t="s">
        <v>607</v>
      </c>
      <c r="I347" s="166" t="s">
        <v>609</v>
      </c>
      <c r="J347" s="97" t="s">
        <f>=_xlfn.TEXTJOIN("+",TRUE,_xlfn._xlws.FILTER(_xlfn.TEXTSPLIT(H347,,"+"),(_xlfn.TEXTSPLIT(H347,,"+")&lt;&gt;"埃米工具")*(_xlfn.TEXTSPLIT(H347,,"+")&lt;&gt;"埃米广告通")))</f>
        <v>607</v>
      </c>
      <c r="K347" s="109">
        <f>=EDATE(C347,D347)</f>
        <v>46477</v>
      </c>
      <c r="L347" s="168" t="s"/>
      <c r="M347" s="128" t="s"/>
      <c r="N347" s="96" t="s">
        <v>611</v>
      </c>
      <c r="O347" s="168" t="s">
        <v>1075</v>
      </c>
      <c r="P347" s="168" t="s"/>
      <c r="Q347" s="171" t="s"/>
      <c r="R347" s="199" t="s"/>
      <c r="S347" s="199" t="s"/>
      <c r="T347" s="199" t="s"/>
      <c r="U347" s="199" t="s"/>
      <c r="V347" s="199" t="s"/>
      <c r="W347" s="199" t="s"/>
      <c r="X347" s="199" t="s"/>
      <c r="Y347" s="199" t="s"/>
      <c r="Z347" s="200" t="s"/>
      <c r="AA347" s="200" t="s"/>
      <c r="AB347" s="200" t="s"/>
      <c r="AC347" s="200" t="s"/>
      <c r="AD347" s="200" t="s"/>
      <c r="AE347" s="200" t="s"/>
      <c r="AF347" s="200" t="s"/>
      <c r="AG347" s="200" t="s"/>
      <c r="AH347" s="200" t="s"/>
      <c r="AI347" s="200" t="s"/>
      <c r="AJ347" s="200" t="s"/>
      <c r="AK347" s="200" t="s"/>
      <c r="AL347" s="200" t="s"/>
      <c r="AM347" s="200" t="s"/>
    </row>
    <row r="348" spans="1:39" s="426" customFormat="true">
      <c r="A348" s="97">
        <v>347</v>
      </c>
      <c r="B348" s="168" t="s">
        <v>1359</v>
      </c>
      <c r="C348" s="162">
        <v>46112.4532986111</v>
      </c>
      <c r="D348" s="167">
        <v>12</v>
      </c>
      <c r="E348" s="120">
        <v>46112</v>
      </c>
      <c r="F348" s="168" t="s">
        <v>215</v>
      </c>
      <c r="G348" s="168" t="s">
        <v>1360</v>
      </c>
      <c r="H348" s="96" t="s">
        <v>607</v>
      </c>
      <c r="I348" s="166" t="s">
        <v>609</v>
      </c>
      <c r="J348" s="97" t="s">
        <f>=_xlfn.TEXTJOIN("+",TRUE,_xlfn._xlws.FILTER(_xlfn.TEXTSPLIT(H348,,"+"),(_xlfn.TEXTSPLIT(H348,,"+")&lt;&gt;"埃米工具")*(_xlfn.TEXTSPLIT(H348,,"+")&lt;&gt;"埃米广告通")))</f>
        <v>607</v>
      </c>
      <c r="K348" s="109">
        <f>=EDATE(C348,D348)</f>
        <v>46477</v>
      </c>
      <c r="L348" s="168" t="s"/>
      <c r="M348" s="128" t="s"/>
      <c r="N348" s="96" t="s">
        <v>611</v>
      </c>
      <c r="O348" s="205" t="s">
        <v>1075</v>
      </c>
      <c r="P348" s="168" t="s"/>
      <c r="Q348" s="171" t="s"/>
      <c r="R348" s="199" t="s"/>
      <c r="S348" s="199" t="s"/>
      <c r="T348" s="199" t="s"/>
      <c r="U348" s="199" t="s"/>
      <c r="V348" s="199" t="s"/>
      <c r="W348" s="199" t="s"/>
      <c r="X348" s="199" t="s"/>
      <c r="Y348" s="199" t="s"/>
      <c r="Z348" s="200" t="s"/>
      <c r="AA348" s="200" t="s"/>
      <c r="AB348" s="200" t="s"/>
      <c r="AC348" s="200" t="s"/>
      <c r="AD348" s="200" t="s"/>
      <c r="AE348" s="200" t="s"/>
      <c r="AF348" s="200" t="s"/>
      <c r="AG348" s="200" t="s"/>
      <c r="AH348" s="200" t="s"/>
      <c r="AI348" s="200" t="s"/>
      <c r="AJ348" s="200" t="s"/>
      <c r="AK348" s="200" t="s"/>
      <c r="AL348" s="200" t="s"/>
      <c r="AM348" s="200" t="s"/>
    </row>
    <row r="349" spans="1:39" s="426" customFormat="true">
      <c r="A349" s="97">
        <v>348</v>
      </c>
      <c r="B349" s="168" t="s">
        <v>1361</v>
      </c>
      <c r="C349" s="162">
        <v>46112.4044328704</v>
      </c>
      <c r="D349" s="167">
        <v>12</v>
      </c>
      <c r="E349" s="120">
        <v>46112</v>
      </c>
      <c r="F349" s="168" t="s">
        <v>236</v>
      </c>
      <c r="G349" s="168" t="s">
        <v>1362</v>
      </c>
      <c r="H349" s="96" t="s">
        <v>607</v>
      </c>
      <c r="I349" s="166" t="s">
        <v>609</v>
      </c>
      <c r="J349" s="97" t="s">
        <f>=_xlfn.TEXTJOIN("+",TRUE,_xlfn._xlws.FILTER(_xlfn.TEXTSPLIT(H349,,"+"),(_xlfn.TEXTSPLIT(H349,,"+")&lt;&gt;"埃米工具")*(_xlfn.TEXTSPLIT(H349,,"+")&lt;&gt;"埃米广告通")))</f>
        <v>607</v>
      </c>
      <c r="K349" s="109">
        <f>=EDATE(C349,D349)</f>
        <v>46477</v>
      </c>
      <c r="L349" s="168" t="s"/>
      <c r="M349" s="128" t="s"/>
      <c r="N349" s="168" t="s"/>
      <c r="O349" s="168" t="s"/>
      <c r="P349" s="168" t="s">
        <v>1363</v>
      </c>
      <c r="Q349" s="171" t="s">
        <v>791</v>
      </c>
      <c r="R349" s="199" t="s"/>
      <c r="S349" s="199" t="s"/>
      <c r="T349" s="199" t="s"/>
      <c r="U349" s="199" t="s"/>
      <c r="V349" s="199" t="s"/>
      <c r="W349" s="199" t="s"/>
      <c r="X349" s="199" t="s"/>
      <c r="Y349" s="199" t="s"/>
      <c r="Z349" s="109" t="s"/>
      <c r="AA349" s="200" t="s"/>
      <c r="AB349" s="200" t="s"/>
      <c r="AC349" s="200" t="s"/>
      <c r="AD349" s="200" t="s"/>
      <c r="AE349" s="200" t="s"/>
      <c r="AF349" s="200" t="s"/>
      <c r="AG349" s="200" t="s"/>
      <c r="AH349" s="200" t="s"/>
      <c r="AI349" s="200" t="s"/>
      <c r="AJ349" s="200" t="s"/>
      <c r="AK349" s="200" t="s"/>
      <c r="AL349" s="200" t="s"/>
      <c r="AM349" s="200" t="s"/>
    </row>
    <row r="350" spans="1:39" s="426" customFormat="true">
      <c r="A350" s="97">
        <v>349</v>
      </c>
      <c r="B350" s="168" t="s">
        <v>170</v>
      </c>
      <c r="C350" s="162">
        <v>46112.4393981482</v>
      </c>
      <c r="D350" s="167">
        <v>12</v>
      </c>
      <c r="E350" s="120">
        <v>46112</v>
      </c>
      <c r="F350" s="168" t="s">
        <v>234</v>
      </c>
      <c r="G350" s="168" t="s">
        <v>1364</v>
      </c>
      <c r="H350" s="96" t="s">
        <v>12</v>
      </c>
      <c r="I350" s="166" t="s">
        <v>609</v>
      </c>
      <c r="J350" s="97" t="s">
        <f>=_xlfn.TEXTJOIN("+",TRUE,_xlfn._xlws.FILTER(_xlfn.TEXTSPLIT(H350,,"+"),(_xlfn.TEXTSPLIT(H350,,"+")&lt;&gt;"埃米工具")*(_xlfn.TEXTSPLIT(H350,,"+")&lt;&gt;"埃米广告通")))</f>
        <v>12</v>
      </c>
      <c r="K350" s="109">
        <f>=EDATE(C350,D350)</f>
        <v>46477</v>
      </c>
      <c r="L350" s="191">
        <v>46114</v>
      </c>
      <c r="M350" s="195" t="s">
        <v>1365</v>
      </c>
      <c r="N350" s="96" t="s">
        <v>611</v>
      </c>
      <c r="O350" s="168" t="s">
        <v>1075</v>
      </c>
      <c r="P350" s="168" t="s"/>
      <c r="Q350" s="171" t="s"/>
      <c r="R350" s="199" t="s"/>
      <c r="S350" s="199" t="s"/>
      <c r="T350" s="199" t="s"/>
      <c r="U350" s="199" t="s"/>
      <c r="V350" s="199" t="s"/>
      <c r="W350" s="199" t="s"/>
      <c r="X350" s="199" t="s"/>
      <c r="Y350" s="199" t="s"/>
      <c r="Z350" s="200" t="s"/>
      <c r="AA350" s="200" t="s"/>
      <c r="AB350" s="200" t="s"/>
      <c r="AC350" s="200" t="s"/>
      <c r="AD350" s="200" t="s"/>
      <c r="AE350" s="200" t="s"/>
      <c r="AF350" s="200" t="s"/>
      <c r="AG350" s="200" t="s"/>
      <c r="AH350" s="200" t="s"/>
      <c r="AI350" s="200" t="s"/>
      <c r="AJ350" s="200" t="s"/>
      <c r="AK350" s="200" t="s"/>
      <c r="AL350" s="200" t="s"/>
      <c r="AM350" s="200" t="s"/>
    </row>
    <row r="351" spans="1:39" s="426" customFormat="true">
      <c r="A351" s="97">
        <v>350</v>
      </c>
      <c r="B351" s="179" t="s">
        <v>1366</v>
      </c>
      <c r="C351" s="162">
        <v>46112.5004282407</v>
      </c>
      <c r="D351" s="167">
        <v>12</v>
      </c>
      <c r="E351" s="120">
        <v>46112</v>
      </c>
      <c r="F351" s="168" t="s">
        <v>228</v>
      </c>
      <c r="G351" s="179" t="s">
        <v>1367</v>
      </c>
      <c r="H351" s="96" t="s">
        <v>607</v>
      </c>
      <c r="I351" s="166" t="s">
        <v>609</v>
      </c>
      <c r="J351" s="97" t="s">
        <f>=_xlfn.TEXTJOIN("+",TRUE,_xlfn._xlws.FILTER(_xlfn.TEXTSPLIT(H351,,"+"),(_xlfn.TEXTSPLIT(H351,,"+")&lt;&gt;"埃米工具")*(_xlfn.TEXTSPLIT(H351,,"+")&lt;&gt;"埃米广告通")))</f>
        <v>607</v>
      </c>
      <c r="K351" s="109">
        <f>=EDATE(C351,D351)</f>
        <v>46477</v>
      </c>
      <c r="L351" s="168" t="s"/>
      <c r="M351" s="128" t="s"/>
      <c r="N351" s="96" t="s">
        <v>611</v>
      </c>
      <c r="O351" s="168" t="s">
        <v>1075</v>
      </c>
      <c r="P351" s="168" t="s"/>
      <c r="Q351" s="171" t="s"/>
      <c r="R351" s="199" t="s"/>
      <c r="S351" s="199" t="s"/>
      <c r="T351" s="199" t="s"/>
      <c r="U351" s="199" t="s"/>
      <c r="V351" s="199" t="s"/>
      <c r="W351" s="199" t="s"/>
      <c r="X351" s="199" t="s"/>
      <c r="Y351" s="199" t="s"/>
      <c r="Z351" s="200" t="s"/>
      <c r="AA351" s="200" t="s"/>
      <c r="AB351" s="200" t="s"/>
      <c r="AC351" s="200" t="s"/>
      <c r="AD351" s="200" t="s"/>
      <c r="AE351" s="200" t="s"/>
      <c r="AF351" s="200" t="s"/>
      <c r="AG351" s="200" t="s"/>
      <c r="AH351" s="200" t="s"/>
      <c r="AI351" s="200" t="s"/>
      <c r="AJ351" s="200" t="s"/>
      <c r="AK351" s="200" t="s"/>
      <c r="AL351" s="200" t="s"/>
      <c r="AM351" s="200" t="s"/>
    </row>
    <row r="352" spans="1:39" s="431" customFormat="true">
      <c r="A352" s="97">
        <v>351</v>
      </c>
      <c r="B352" s="205" t="s">
        <v>399</v>
      </c>
      <c r="C352" s="162">
        <v>46112.5223958333</v>
      </c>
      <c r="D352" s="167">
        <v>12</v>
      </c>
      <c r="E352" s="120">
        <v>46112</v>
      </c>
      <c r="F352" s="168" t="s">
        <v>234</v>
      </c>
      <c r="G352" s="168" t="s">
        <v>1368</v>
      </c>
      <c r="H352" s="96" t="s">
        <v>607</v>
      </c>
      <c r="I352" s="166" t="s">
        <v>609</v>
      </c>
      <c r="J352" s="97" t="s">
        <f>=_xlfn.TEXTJOIN("+",TRUE,_xlfn._xlws.FILTER(_xlfn.TEXTSPLIT(H352,,"+"),(_xlfn.TEXTSPLIT(H352,,"+")&lt;&gt;"埃米工具")*(_xlfn.TEXTSPLIT(H352,,"+")&lt;&gt;"埃米广告通")))</f>
        <v>607</v>
      </c>
      <c r="K352" s="109">
        <f>=EDATE(C352,D352)</f>
        <v>46477</v>
      </c>
      <c r="L352" s="168" t="s"/>
      <c r="M352" s="128" t="s"/>
      <c r="N352" s="96" t="s">
        <v>611</v>
      </c>
      <c r="O352" s="168" t="s">
        <v>1075</v>
      </c>
      <c r="P352" s="168" t="s"/>
      <c r="Q352" s="171" t="s"/>
      <c r="R352" s="199" t="s"/>
      <c r="S352" s="199" t="s"/>
      <c r="T352" s="199" t="s"/>
      <c r="U352" s="199" t="s"/>
      <c r="V352" s="199" t="s"/>
      <c r="W352" s="199" t="s"/>
      <c r="X352" s="199" t="s"/>
      <c r="Y352" s="199" t="s"/>
      <c r="Z352" s="200" t="s"/>
      <c r="AA352" s="200" t="s"/>
      <c r="AB352" s="200" t="s"/>
      <c r="AC352" s="200" t="s"/>
      <c r="AD352" s="200" t="s"/>
      <c r="AE352" s="200" t="s"/>
      <c r="AF352" s="200" t="s"/>
      <c r="AG352" s="200" t="s"/>
      <c r="AH352" s="200" t="s"/>
      <c r="AI352" s="200" t="s"/>
      <c r="AJ352" s="200" t="s"/>
      <c r="AK352" s="200" t="s"/>
      <c r="AL352" s="200" t="s"/>
      <c r="AM352" s="200" t="s"/>
    </row>
    <row r="353" spans="1:39" s="256" customFormat="true">
      <c r="A353" s="97">
        <v>352</v>
      </c>
      <c r="B353" s="168" t="s">
        <v>409</v>
      </c>
      <c r="C353" s="162">
        <v>46112.6618518519</v>
      </c>
      <c r="D353" s="167">
        <v>12</v>
      </c>
      <c r="E353" s="120">
        <v>46112</v>
      </c>
      <c r="F353" s="168" t="s">
        <v>224</v>
      </c>
      <c r="G353" s="168" t="s">
        <v>1369</v>
      </c>
      <c r="H353" s="96" t="s">
        <v>607</v>
      </c>
      <c r="I353" s="166" t="s">
        <v>609</v>
      </c>
      <c r="J353" s="97" t="s">
        <f>=_xlfn.TEXTJOIN("+",TRUE,_xlfn._xlws.FILTER(_xlfn.TEXTSPLIT(H353,,"+"),(_xlfn.TEXTSPLIT(H353,,"+")&lt;&gt;"埃米工具")*(_xlfn.TEXTSPLIT(H353,,"+")&lt;&gt;"埃米广告通")))</f>
        <v>607</v>
      </c>
      <c r="K353" s="109">
        <f>=EDATE(C353,D353)</f>
        <v>46477</v>
      </c>
      <c r="L353" s="168" t="s"/>
      <c r="M353" s="128" t="s"/>
      <c r="N353" s="96" t="s">
        <v>611</v>
      </c>
      <c r="O353" s="168" t="s">
        <v>1045</v>
      </c>
      <c r="P353" s="168" t="s"/>
      <c r="Q353" s="171" t="s"/>
      <c r="R353" s="199" t="s"/>
      <c r="S353" s="199" t="s"/>
      <c r="T353" s="199" t="s"/>
      <c r="U353" s="199" t="s"/>
      <c r="V353" s="199" t="s"/>
      <c r="W353" s="199" t="s"/>
      <c r="X353" s="199" t="s"/>
      <c r="Y353" s="199" t="s"/>
      <c r="Z353" s="109" t="s"/>
      <c r="AA353" s="200" t="s"/>
      <c r="AB353" s="200" t="s"/>
      <c r="AC353" s="200" t="s"/>
      <c r="AD353" s="200" t="s"/>
      <c r="AE353" s="200" t="s"/>
      <c r="AF353" s="200" t="s"/>
      <c r="AG353" s="200" t="s"/>
      <c r="AH353" s="200" t="s"/>
      <c r="AI353" s="200" t="s"/>
      <c r="AJ353" s="200" t="s"/>
      <c r="AK353" s="200" t="s"/>
      <c r="AL353" s="200" t="s"/>
      <c r="AM353" s="200" t="s"/>
    </row>
    <row r="354" spans="1:39" s="256" customFormat="true">
      <c r="A354" s="97">
        <v>353</v>
      </c>
      <c r="B354" s="168" t="s">
        <v>430</v>
      </c>
      <c r="C354" s="162">
        <v>46112.6526388889</v>
      </c>
      <c r="D354" s="167">
        <v>12</v>
      </c>
      <c r="E354" s="120">
        <v>46112</v>
      </c>
      <c r="F354" s="152" t="s">
        <v>215</v>
      </c>
      <c r="G354" s="168" t="s">
        <v>1370</v>
      </c>
      <c r="H354" s="96" t="s">
        <v>607</v>
      </c>
      <c r="I354" s="166" t="s">
        <v>609</v>
      </c>
      <c r="J354" s="97" t="s">
        <f>=_xlfn.TEXTJOIN("+",TRUE,_xlfn._xlws.FILTER(_xlfn.TEXTSPLIT(H354,,"+"),(_xlfn.TEXTSPLIT(H354,,"+")&lt;&gt;"埃米工具")*(_xlfn.TEXTSPLIT(H354,,"+")&lt;&gt;"埃米广告通")))</f>
        <v>607</v>
      </c>
      <c r="K354" s="109">
        <f>=EDATE(C354,D354)</f>
        <v>46477</v>
      </c>
      <c r="L354" s="168" t="s"/>
      <c r="M354" s="128" t="s"/>
      <c r="N354" s="96" t="s">
        <v>611</v>
      </c>
      <c r="O354" s="205" t="s">
        <v>1075</v>
      </c>
      <c r="P354" s="168" t="s"/>
      <c r="Q354" s="171" t="s"/>
      <c r="R354" s="199" t="s"/>
      <c r="S354" s="199" t="s"/>
      <c r="T354" s="199" t="s"/>
      <c r="U354" s="199" t="s"/>
      <c r="V354" s="199" t="s"/>
      <c r="W354" s="199" t="s"/>
      <c r="X354" s="199" t="s"/>
      <c r="Y354" s="199" t="s"/>
      <c r="Z354" s="200" t="s"/>
      <c r="AA354" s="200" t="s"/>
      <c r="AB354" s="200" t="s"/>
      <c r="AC354" s="200" t="s"/>
      <c r="AD354" s="200" t="s"/>
      <c r="AE354" s="200" t="s"/>
      <c r="AF354" s="200" t="s"/>
      <c r="AG354" s="200" t="s"/>
      <c r="AH354" s="200" t="s"/>
      <c r="AI354" s="200" t="s"/>
      <c r="AJ354" s="200" t="s"/>
      <c r="AK354" s="200" t="s"/>
      <c r="AL354" s="200" t="s"/>
      <c r="AM354" s="200" t="s"/>
    </row>
    <row r="355" spans="1:39" s="256" customFormat="true">
      <c r="A355" s="97">
        <v>354</v>
      </c>
      <c r="B355" s="168" t="s">
        <v>442</v>
      </c>
      <c r="C355" s="162">
        <v>46112.6474884259</v>
      </c>
      <c r="D355" s="167">
        <v>12</v>
      </c>
      <c r="E355" s="120">
        <v>46112</v>
      </c>
      <c r="F355" s="168" t="s">
        <v>224</v>
      </c>
      <c r="G355" s="168" t="s">
        <v>1371</v>
      </c>
      <c r="H355" s="96" t="s">
        <v>607</v>
      </c>
      <c r="I355" s="166" t="s">
        <v>609</v>
      </c>
      <c r="J355" s="97" t="s">
        <f>=_xlfn.TEXTJOIN("+",TRUE,_xlfn._xlws.FILTER(_xlfn.TEXTSPLIT(H355,,"+"),(_xlfn.TEXTSPLIT(H355,,"+")&lt;&gt;"埃米工具")*(_xlfn.TEXTSPLIT(H355,,"+")&lt;&gt;"埃米广告通")))</f>
        <v>607</v>
      </c>
      <c r="K355" s="109">
        <f>=EDATE(C355,D355)</f>
        <v>46477</v>
      </c>
      <c r="L355" s="168" t="s"/>
      <c r="M355" s="128" t="s"/>
      <c r="N355" s="96" t="s">
        <v>611</v>
      </c>
      <c r="O355" s="168" t="s">
        <v>1045</v>
      </c>
      <c r="P355" s="168" t="s"/>
      <c r="Q355" s="171" t="s"/>
      <c r="R355" s="199" t="s"/>
      <c r="S355" s="199" t="s"/>
      <c r="T355" s="199" t="s"/>
      <c r="U355" s="199" t="s"/>
      <c r="V355" s="199" t="s"/>
      <c r="W355" s="199" t="s"/>
      <c r="X355" s="199" t="s"/>
      <c r="Y355" s="199" t="s"/>
      <c r="Z355" s="200" t="s"/>
      <c r="AA355" s="200" t="s"/>
      <c r="AB355" s="200" t="s"/>
      <c r="AC355" s="200" t="s"/>
      <c r="AD355" s="200" t="s"/>
      <c r="AE355" s="200" t="s"/>
      <c r="AF355" s="200" t="s"/>
      <c r="AG355" s="200" t="s"/>
      <c r="AH355" s="200" t="s"/>
      <c r="AI355" s="200" t="s"/>
      <c r="AJ355" s="200" t="s"/>
      <c r="AK355" s="200" t="s"/>
      <c r="AL355" s="200" t="s"/>
      <c r="AM355" s="200" t="s"/>
    </row>
    <row r="356" spans="1:39" s="256" customFormat="true">
      <c r="A356" s="97">
        <v>355</v>
      </c>
      <c r="B356" s="168" t="s">
        <v>171</v>
      </c>
      <c r="C356" s="162">
        <v>46112.6632523148</v>
      </c>
      <c r="D356" s="167">
        <v>12</v>
      </c>
      <c r="E356" s="120">
        <v>46112</v>
      </c>
      <c r="F356" s="168" t="s">
        <v>228</v>
      </c>
      <c r="G356" s="168" t="s">
        <v>1372</v>
      </c>
      <c r="H356" s="96" t="s">
        <v>606</v>
      </c>
      <c r="I356" s="166" t="s">
        <v>609</v>
      </c>
      <c r="J356" s="97" t="s">
        <f>=_xlfn.TEXTJOIN("+",TRUE,_xlfn._xlws.FILTER(_xlfn.TEXTSPLIT(H356,,"+"),(_xlfn.TEXTSPLIT(H356,,"+")&lt;&gt;"埃米工具")*(_xlfn.TEXTSPLIT(H356,,"+")&lt;&gt;"埃米广告通")))</f>
        <v>15</v>
      </c>
      <c r="K356" s="109">
        <f>=EDATE(C356,D356)</f>
        <v>46477</v>
      </c>
      <c r="L356" s="209">
        <v>46113</v>
      </c>
      <c r="M356" s="195" t="s">
        <v>1365</v>
      </c>
      <c r="N356" s="96" t="s">
        <v>611</v>
      </c>
      <c r="O356" s="168" t="s">
        <v>1373</v>
      </c>
      <c r="P356" s="191" t="s">
        <v>1374</v>
      </c>
      <c r="Q356" s="171" t="s"/>
      <c r="R356" s="199" t="s"/>
      <c r="S356" s="199" t="s"/>
      <c r="T356" s="199" t="s"/>
      <c r="U356" s="199" t="s"/>
      <c r="V356" s="199" t="s"/>
      <c r="W356" s="199" t="s"/>
      <c r="X356" s="199" t="s"/>
      <c r="Y356" s="199" t="s"/>
      <c r="Z356" s="109" t="s"/>
      <c r="AA356" s="200" t="s"/>
      <c r="AB356" s="200" t="s"/>
      <c r="AC356" s="200" t="s"/>
      <c r="AD356" s="200" t="s"/>
      <c r="AE356" s="200" t="s"/>
      <c r="AF356" s="200" t="s"/>
      <c r="AG356" s="200" t="s"/>
      <c r="AH356" s="200" t="s"/>
      <c r="AI356" s="200" t="s"/>
      <c r="AJ356" s="200" t="s"/>
      <c r="AK356" s="200" t="s"/>
      <c r="AL356" s="200" t="s"/>
      <c r="AM356" s="200" t="s"/>
    </row>
    <row r="357" spans="1:39" s="256" customFormat="true">
      <c r="A357" s="97">
        <v>356</v>
      </c>
      <c r="B357" s="168" t="s">
        <v>173</v>
      </c>
      <c r="C357" s="162">
        <v>46112.5891782408</v>
      </c>
      <c r="D357" s="167">
        <v>12</v>
      </c>
      <c r="E357" s="120">
        <v>46112</v>
      </c>
      <c r="F357" s="168" t="s">
        <v>236</v>
      </c>
      <c r="G357" s="168" t="s">
        <v>1375</v>
      </c>
      <c r="H357" s="96" t="s">
        <v>606</v>
      </c>
      <c r="I357" s="166" t="s">
        <v>609</v>
      </c>
      <c r="J357" s="97" t="s">
        <f>=_xlfn.TEXTJOIN("+",TRUE,_xlfn._xlws.FILTER(_xlfn.TEXTSPLIT(H357,,"+"),(_xlfn.TEXTSPLIT(H357,,"+")&lt;&gt;"埃米工具")*(_xlfn.TEXTSPLIT(H357,,"+")&lt;&gt;"埃米广告通")))</f>
        <v>15</v>
      </c>
      <c r="K357" s="109">
        <f>=EDATE(C357,D357)</f>
        <v>46477</v>
      </c>
      <c r="L357" s="193">
        <v>46126</v>
      </c>
      <c r="M357" s="168" t="s">
        <v>1376</v>
      </c>
      <c r="N357" s="96" t="s">
        <v>611</v>
      </c>
      <c r="O357" s="168" t="s">
        <v>1322</v>
      </c>
      <c r="P357" s="168" t="s"/>
      <c r="Q357" s="171" t="s"/>
      <c r="R357" s="199" t="s"/>
      <c r="S357" s="199" t="s"/>
      <c r="T357" s="199" t="s"/>
      <c r="U357" s="199" t="s"/>
      <c r="V357" s="199" t="s"/>
      <c r="W357" s="199" t="s"/>
      <c r="X357" s="199" t="s"/>
      <c r="Y357" s="199" t="s"/>
      <c r="Z357" s="109" t="s"/>
      <c r="AA357" s="200" t="s"/>
      <c r="AB357" s="200" t="s"/>
      <c r="AC357" s="200" t="s"/>
      <c r="AD357" s="200" t="s"/>
      <c r="AE357" s="200" t="s"/>
      <c r="AF357" s="200" t="s"/>
      <c r="AG357" s="200" t="s"/>
      <c r="AH357" s="200" t="s"/>
      <c r="AI357" s="200" t="s"/>
      <c r="AJ357" s="200" t="s"/>
      <c r="AK357" s="200" t="s"/>
      <c r="AL357" s="200" t="s"/>
      <c r="AM357" s="200" t="s"/>
    </row>
    <row r="358" spans="1:39" s="256" customFormat="true">
      <c r="A358" s="97">
        <v>357</v>
      </c>
      <c r="B358" s="168" t="s">
        <v>1377</v>
      </c>
      <c r="C358" s="162">
        <v>46112.5764351852</v>
      </c>
      <c r="D358" s="167">
        <v>12</v>
      </c>
      <c r="E358" s="120">
        <v>46112</v>
      </c>
      <c r="F358" s="168" t="s">
        <v>236</v>
      </c>
      <c r="G358" s="168" t="s">
        <v>1378</v>
      </c>
      <c r="H358" s="96" t="s">
        <v>607</v>
      </c>
      <c r="I358" s="166" t="s">
        <v>646</v>
      </c>
      <c r="J358" s="97" t="s">
        <f>=_xlfn.TEXTJOIN("+",TRUE,_xlfn._xlws.FILTER(_xlfn.TEXTSPLIT(H358,,"+"),(_xlfn.TEXTSPLIT(H358,,"+")&lt;&gt;"埃米工具")*(_xlfn.TEXTSPLIT(H358,,"+")&lt;&gt;"埃米广告通")))</f>
        <v>607</v>
      </c>
      <c r="K358" s="109">
        <f>=EDATE(C358,D358)</f>
        <v>46477</v>
      </c>
      <c r="L358" s="168" t="s"/>
      <c r="M358" s="128" t="s"/>
      <c r="N358" s="96" t="s">
        <v>611</v>
      </c>
      <c r="O358" s="168" t="s">
        <v>1322</v>
      </c>
      <c r="P358" s="168" t="s"/>
      <c r="Q358" s="171" t="s"/>
      <c r="R358" s="199" t="s"/>
      <c r="S358" s="199" t="s"/>
      <c r="T358" s="199" t="s"/>
      <c r="U358" s="199" t="s"/>
      <c r="V358" s="199" t="s"/>
      <c r="W358" s="199" t="s"/>
      <c r="X358" s="199" t="s"/>
      <c r="Y358" s="199" t="s"/>
      <c r="Z358" s="109" t="s"/>
      <c r="AA358" s="200" t="s"/>
      <c r="AB358" s="200" t="s"/>
      <c r="AC358" s="200" t="s"/>
      <c r="AD358" s="200" t="s"/>
      <c r="AE358" s="200" t="s"/>
      <c r="AF358" s="200" t="s"/>
      <c r="AG358" s="200" t="s"/>
      <c r="AH358" s="200" t="s"/>
      <c r="AI358" s="200" t="s"/>
      <c r="AJ358" s="200" t="s"/>
      <c r="AK358" s="200" t="s"/>
      <c r="AL358" s="200" t="s"/>
      <c r="AM358" s="200" t="s"/>
    </row>
    <row r="359" spans="1:39" s="256" customFormat="true">
      <c r="A359" s="97">
        <v>358</v>
      </c>
      <c r="B359" s="168" t="s">
        <v>175</v>
      </c>
      <c r="C359" s="162">
        <v>46112.6642708333</v>
      </c>
      <c r="D359" s="167">
        <v>12</v>
      </c>
      <c r="E359" s="120">
        <v>46112</v>
      </c>
      <c r="F359" s="168" t="s">
        <v>234</v>
      </c>
      <c r="G359" s="168" t="s">
        <v>1379</v>
      </c>
      <c r="H359" s="96" t="s">
        <v>12</v>
      </c>
      <c r="I359" s="166" t="s">
        <v>609</v>
      </c>
      <c r="J359" s="97" t="s">
        <f>=_xlfn.TEXTJOIN("+",TRUE,_xlfn._xlws.FILTER(_xlfn.TEXTSPLIT(H359,,"+"),(_xlfn.TEXTSPLIT(H359,,"+")&lt;&gt;"埃米工具")*(_xlfn.TEXTSPLIT(H359,,"+")&lt;&gt;"埃米广告通")))</f>
        <v>12</v>
      </c>
      <c r="K359" s="109">
        <f>=EDATE(C359,D359)</f>
        <v>46477</v>
      </c>
      <c r="L359" s="191">
        <v>46119</v>
      </c>
      <c r="M359" s="128" t="s">
        <v>1380</v>
      </c>
      <c r="N359" s="96" t="s">
        <v>611</v>
      </c>
      <c r="O359" s="168" t="s">
        <v>1045</v>
      </c>
      <c r="P359" s="168" t="s"/>
      <c r="Q359" s="171" t="s"/>
      <c r="R359" s="199" t="s"/>
      <c r="S359" s="199" t="s"/>
      <c r="T359" s="199" t="s"/>
      <c r="U359" s="199" t="s"/>
      <c r="V359" s="199" t="s"/>
      <c r="W359" s="199" t="s"/>
      <c r="X359" s="199" t="s"/>
      <c r="Y359" s="199" t="s"/>
      <c r="Z359" s="200" t="s"/>
      <c r="AA359" s="200" t="s"/>
      <c r="AB359" s="200" t="s"/>
      <c r="AC359" s="200" t="s"/>
      <c r="AD359" s="200" t="s"/>
      <c r="AE359" s="200" t="s"/>
      <c r="AF359" s="200" t="s"/>
      <c r="AG359" s="200" t="s"/>
      <c r="AH359" s="200" t="s"/>
      <c r="AI359" s="200" t="s"/>
      <c r="AJ359" s="200" t="s"/>
      <c r="AK359" s="200" t="s"/>
      <c r="AL359" s="200" t="s"/>
      <c r="AM359" s="200" t="s"/>
    </row>
    <row r="360" spans="1:39" s="256" customFormat="true">
      <c r="A360" s="97">
        <v>359</v>
      </c>
      <c r="B360" s="179" t="s">
        <v>1381</v>
      </c>
      <c r="C360" s="162">
        <v>46112.6698032407</v>
      </c>
      <c r="D360" s="167">
        <v>12</v>
      </c>
      <c r="E360" s="120">
        <v>46112</v>
      </c>
      <c r="F360" s="168" t="s">
        <v>215</v>
      </c>
      <c r="G360" s="179" t="s">
        <v>1382</v>
      </c>
      <c r="H360" s="96" t="s">
        <v>607</v>
      </c>
      <c r="I360" s="166" t="s">
        <v>609</v>
      </c>
      <c r="J360" s="97" t="s">
        <f>=_xlfn.TEXTJOIN("+",TRUE,_xlfn._xlws.FILTER(_xlfn.TEXTSPLIT(H360,,"+"),(_xlfn.TEXTSPLIT(H360,,"+")&lt;&gt;"埃米工具")*(_xlfn.TEXTSPLIT(H360,,"+")&lt;&gt;"埃米广告通")))</f>
        <v>607</v>
      </c>
      <c r="K360" s="109">
        <f>=EDATE(C360,D360)</f>
        <v>46477</v>
      </c>
      <c r="L360" s="168" t="s"/>
      <c r="M360" s="128" t="s"/>
      <c r="N360" s="96" t="s">
        <v>611</v>
      </c>
      <c r="O360" s="168" t="s"/>
      <c r="P360" s="168" t="s"/>
      <c r="Q360" s="171" t="s"/>
      <c r="R360" s="199" t="s"/>
      <c r="S360" s="199" t="s"/>
      <c r="T360" s="199" t="s"/>
      <c r="U360" s="199" t="s"/>
      <c r="V360" s="199" t="s"/>
      <c r="W360" s="199" t="s"/>
      <c r="X360" s="199" t="s"/>
      <c r="Y360" s="199" t="s"/>
      <c r="Z360" s="109" t="s"/>
      <c r="AA360" s="200" t="s"/>
      <c r="AB360" s="200" t="s"/>
      <c r="AC360" s="200" t="s"/>
      <c r="AD360" s="200" t="s"/>
      <c r="AE360" s="200" t="s"/>
      <c r="AF360" s="200" t="s"/>
      <c r="AG360" s="200" t="s"/>
      <c r="AH360" s="200" t="s"/>
      <c r="AI360" s="200" t="s"/>
      <c r="AJ360" s="200" t="s"/>
      <c r="AK360" s="200" t="s"/>
      <c r="AL360" s="200" t="s"/>
      <c r="AM360" s="200" t="s"/>
    </row>
    <row r="361" spans="1:39" s="256" customFormat="true">
      <c r="A361" s="97">
        <v>360</v>
      </c>
      <c r="B361" s="152" t="s">
        <v>1383</v>
      </c>
      <c r="C361" s="162">
        <v>46112.6709027778</v>
      </c>
      <c r="D361" s="167">
        <v>12</v>
      </c>
      <c r="E361" s="120">
        <v>46112</v>
      </c>
      <c r="F361" s="168" t="s">
        <v>234</v>
      </c>
      <c r="G361" s="179" t="s">
        <v>1384</v>
      </c>
      <c r="H361" s="96" t="s">
        <v>607</v>
      </c>
      <c r="I361" s="166" t="s">
        <v>609</v>
      </c>
      <c r="J361" s="97" t="s">
        <f>=_xlfn.TEXTJOIN("+",TRUE,_xlfn._xlws.FILTER(_xlfn.TEXTSPLIT(H361,,"+"),(_xlfn.TEXTSPLIT(H361,,"+")&lt;&gt;"埃米工具")*(_xlfn.TEXTSPLIT(H361,,"+")&lt;&gt;"埃米广告通")))</f>
        <v>607</v>
      </c>
      <c r="K361" s="109">
        <f>=EDATE(C361,D361)</f>
        <v>46477</v>
      </c>
      <c r="L361" s="168" t="s"/>
      <c r="M361" s="128" t="s"/>
      <c r="N361" s="96" t="s">
        <v>611</v>
      </c>
      <c r="O361" s="168" t="s">
        <v>1333</v>
      </c>
      <c r="P361" s="168" t="s"/>
      <c r="Q361" s="171" t="s"/>
      <c r="R361" s="199" t="s"/>
      <c r="S361" s="199" t="s"/>
      <c r="T361" s="199" t="s"/>
      <c r="U361" s="199" t="s"/>
      <c r="V361" s="199" t="s"/>
      <c r="W361" s="199" t="s"/>
      <c r="X361" s="199" t="s"/>
      <c r="Y361" s="199" t="s"/>
      <c r="Z361" s="200" t="s"/>
      <c r="AA361" s="200" t="s"/>
      <c r="AB361" s="200" t="s"/>
      <c r="AC361" s="200" t="s"/>
      <c r="AD361" s="200" t="s"/>
      <c r="AE361" s="200" t="s"/>
      <c r="AF361" s="200" t="s"/>
      <c r="AG361" s="200" t="s"/>
      <c r="AH361" s="200" t="s"/>
      <c r="AI361" s="200" t="s"/>
      <c r="AJ361" s="200" t="s"/>
      <c r="AK361" s="200" t="s"/>
      <c r="AL361" s="200" t="s"/>
      <c r="AM361" s="200" t="s"/>
    </row>
    <row r="362" spans="1:39" s="431" customFormat="true">
      <c r="A362" s="97">
        <v>361</v>
      </c>
      <c r="B362" s="178" t="s">
        <v>1385</v>
      </c>
      <c r="C362" s="162">
        <v>46112.9373148148</v>
      </c>
      <c r="D362" s="167">
        <v>24</v>
      </c>
      <c r="E362" s="120">
        <v>46113</v>
      </c>
      <c r="F362" s="168" t="s">
        <v>277</v>
      </c>
      <c r="G362" s="168" t="s">
        <v>1386</v>
      </c>
      <c r="H362" s="96" t="s">
        <v>607</v>
      </c>
      <c r="I362" s="166" t="s">
        <v>609</v>
      </c>
      <c r="J362" s="97" t="s">
        <f>=_xlfn.TEXTJOIN("+",TRUE,_xlfn._xlws.FILTER(_xlfn.TEXTSPLIT(H362,,"+"),(_xlfn.TEXTSPLIT(H362,,"+")&lt;&gt;"埃米工具")*(_xlfn.TEXTSPLIT(H362,,"+")&lt;&gt;"埃米广告通")))</f>
        <v>607</v>
      </c>
      <c r="K362" s="109">
        <f>=EDATE(C362,D362)</f>
        <v>46843</v>
      </c>
      <c r="L362" s="168" t="s">
        <v>1387</v>
      </c>
      <c r="M362" s="168" t="s">
        <v>1387</v>
      </c>
      <c r="N362" s="168" t="s"/>
      <c r="O362" s="168" t="s"/>
      <c r="P362" s="168" t="s">
        <v>1388</v>
      </c>
      <c r="Q362" s="171" t="s"/>
      <c r="R362" s="199" t="s"/>
      <c r="S362" s="199" t="s"/>
      <c r="T362" s="199" t="s"/>
      <c r="U362" s="199" t="s"/>
      <c r="V362" s="199" t="s"/>
      <c r="W362" s="199" t="s"/>
      <c r="X362" s="199" t="s"/>
      <c r="Y362" s="199" t="s"/>
      <c r="Z362" s="109" t="s"/>
      <c r="AA362" s="200" t="s"/>
      <c r="AB362" s="200" t="s"/>
      <c r="AC362" s="200" t="s"/>
      <c r="AD362" s="200" t="s"/>
      <c r="AE362" s="200" t="s"/>
      <c r="AF362" s="200" t="s"/>
      <c r="AG362" s="200" t="s"/>
      <c r="AH362" s="200" t="s"/>
      <c r="AI362" s="200" t="s"/>
      <c r="AJ362" s="200" t="s"/>
      <c r="AK362" s="200" t="s"/>
      <c r="AL362" s="200" t="s"/>
      <c r="AM362" s="200" t="s"/>
    </row>
    <row r="363" spans="1:39" s="431" customFormat="true">
      <c r="A363" s="97">
        <v>362</v>
      </c>
      <c r="B363" s="165" t="s">
        <v>176</v>
      </c>
      <c r="C363" s="162">
        <v>46112.9019675926</v>
      </c>
      <c r="D363" s="167">
        <v>12</v>
      </c>
      <c r="E363" s="120">
        <v>46113</v>
      </c>
      <c r="F363" s="168" t="s">
        <v>277</v>
      </c>
      <c r="G363" s="168" t="s">
        <v>1389</v>
      </c>
      <c r="H363" s="96" t="s">
        <v>12</v>
      </c>
      <c r="I363" s="166" t="s">
        <v>609</v>
      </c>
      <c r="J363" s="97" t="s">
        <f>=_xlfn.TEXTJOIN("+",TRUE,_xlfn._xlws.FILTER(_xlfn.TEXTSPLIT(H363,,"+"),(_xlfn.TEXTSPLIT(H363,,"+")&lt;&gt;"埃米工具")*(_xlfn.TEXTSPLIT(H363,,"+")&lt;&gt;"埃米广告通")))</f>
        <v>12</v>
      </c>
      <c r="K363" s="109">
        <f>=EDATE(C363,D363)</f>
        <v>46477</v>
      </c>
      <c r="L363" s="191">
        <v>46115</v>
      </c>
      <c r="M363" s="168" t="s">
        <v>1214</v>
      </c>
      <c r="N363" s="168" t="s"/>
      <c r="O363" s="168" t="s">
        <v>1390</v>
      </c>
      <c r="P363" s="168" t="s"/>
      <c r="Q363" s="171" t="s"/>
      <c r="R363" s="199" t="s"/>
      <c r="S363" s="199" t="s"/>
      <c r="T363" s="199" t="s"/>
      <c r="U363" s="199" t="s"/>
      <c r="V363" s="199" t="s"/>
      <c r="W363" s="199" t="s"/>
      <c r="X363" s="199" t="s"/>
      <c r="Y363" s="199" t="s"/>
      <c r="Z363" s="109" t="s"/>
      <c r="AA363" s="200" t="s"/>
      <c r="AB363" s="200" t="s"/>
      <c r="AC363" s="200" t="s"/>
      <c r="AD363" s="200" t="s"/>
      <c r="AE363" s="200" t="s"/>
      <c r="AF363" s="200" t="s"/>
      <c r="AG363" s="200" t="s"/>
      <c r="AH363" s="200" t="s"/>
      <c r="AI363" s="200" t="s"/>
      <c r="AJ363" s="200" t="s"/>
      <c r="AK363" s="200" t="s"/>
      <c r="AL363" s="200" t="s"/>
      <c r="AM363" s="200" t="s"/>
    </row>
    <row r="364" spans="1:39" s="431" customFormat="true">
      <c r="A364" s="97">
        <v>363</v>
      </c>
      <c r="B364" s="168" t="s">
        <v>405</v>
      </c>
      <c r="C364" s="206">
        <v>46112.9053472222</v>
      </c>
      <c r="D364" s="167">
        <v>12</v>
      </c>
      <c r="E364" s="120">
        <v>46113</v>
      </c>
      <c r="F364" s="168" t="s">
        <v>224</v>
      </c>
      <c r="G364" s="168" t="s">
        <v>1391</v>
      </c>
      <c r="H364" s="96" t="s">
        <v>607</v>
      </c>
      <c r="I364" s="166" t="s">
        <v>609</v>
      </c>
      <c r="J364" s="97" t="s">
        <f>=_xlfn.TEXTJOIN("+",TRUE,_xlfn._xlws.FILTER(_xlfn.TEXTSPLIT(H364,,"+"),(_xlfn.TEXTSPLIT(H364,,"+")&lt;&gt;"埃米工具")*(_xlfn.TEXTSPLIT(H364,,"+")&lt;&gt;"埃米广告通")))</f>
        <v>607</v>
      </c>
      <c r="K364" s="109">
        <f>=EDATE(C364,D364)</f>
        <v>46477</v>
      </c>
      <c r="L364" s="168" t="s"/>
      <c r="M364" s="128" t="s"/>
      <c r="N364" s="96" t="s">
        <v>611</v>
      </c>
      <c r="O364" s="168" t="s">
        <v>1045</v>
      </c>
      <c r="P364" s="168" t="s">
        <v>1091</v>
      </c>
      <c r="Q364" s="171" t="s"/>
      <c r="R364" s="199" t="s"/>
      <c r="S364" s="199" t="s"/>
      <c r="T364" s="199" t="s"/>
      <c r="U364" s="199" t="s"/>
      <c r="V364" s="199" t="s"/>
      <c r="W364" s="199" t="s"/>
      <c r="X364" s="199" t="s"/>
      <c r="Y364" s="199" t="s"/>
      <c r="Z364" s="200" t="s"/>
      <c r="AA364" s="200" t="s"/>
      <c r="AB364" s="200" t="s"/>
      <c r="AC364" s="200" t="s"/>
      <c r="AD364" s="200" t="s"/>
      <c r="AE364" s="200" t="s"/>
      <c r="AF364" s="200" t="s"/>
      <c r="AG364" s="200" t="s"/>
      <c r="AH364" s="200" t="s"/>
      <c r="AI364" s="200" t="s"/>
      <c r="AJ364" s="200" t="s"/>
      <c r="AK364" s="200" t="s"/>
      <c r="AL364" s="200" t="s"/>
      <c r="AM364" s="200" t="s"/>
    </row>
    <row r="365" spans="1:39" s="431" customFormat="true">
      <c r="A365" s="97">
        <v>364</v>
      </c>
      <c r="B365" s="168" t="s">
        <v>177</v>
      </c>
      <c r="C365" s="162">
        <v>46112.8741087962</v>
      </c>
      <c r="D365" s="167">
        <v>24</v>
      </c>
      <c r="E365" s="120">
        <v>46113</v>
      </c>
      <c r="F365" s="168" t="s">
        <v>224</v>
      </c>
      <c r="G365" s="168" t="s">
        <v>1392</v>
      </c>
      <c r="H365" s="96" t="s">
        <v>12</v>
      </c>
      <c r="I365" s="166" t="s">
        <v>609</v>
      </c>
      <c r="J365" s="97" t="s">
        <f>=_xlfn.TEXTJOIN("+",TRUE,_xlfn._xlws.FILTER(_xlfn.TEXTSPLIT(H365,,"+"),(_xlfn.TEXTSPLIT(H365,,"+")&lt;&gt;"埃米工具")*(_xlfn.TEXTSPLIT(H365,,"+")&lt;&gt;"埃米广告通")))</f>
        <v>12</v>
      </c>
      <c r="K365" s="109">
        <f>=EDATE(C365,D365)</f>
        <v>46843</v>
      </c>
      <c r="L365" s="191">
        <v>46113</v>
      </c>
      <c r="M365" s="128" t="s">
        <v>1393</v>
      </c>
      <c r="N365" s="96" t="s">
        <v>611</v>
      </c>
      <c r="O365" s="168" t="s">
        <v>1149</v>
      </c>
      <c r="P365" s="168" t="s"/>
      <c r="Q365" s="171" t="s"/>
      <c r="R365" s="199" t="s"/>
      <c r="S365" s="199" t="s"/>
      <c r="T365" s="199" t="s"/>
      <c r="U365" s="199" t="s"/>
      <c r="V365" s="199" t="s"/>
      <c r="W365" s="199" t="s"/>
      <c r="X365" s="199" t="s"/>
      <c r="Y365" s="199" t="s"/>
      <c r="Z365" s="109" t="s"/>
      <c r="AA365" s="200" t="s"/>
      <c r="AB365" s="200" t="s"/>
      <c r="AC365" s="200" t="s"/>
      <c r="AD365" s="200" t="s"/>
      <c r="AE365" s="200" t="s"/>
      <c r="AF365" s="200" t="s"/>
      <c r="AG365" s="200" t="s"/>
      <c r="AH365" s="200" t="s"/>
      <c r="AI365" s="200" t="s"/>
      <c r="AJ365" s="200" t="s"/>
      <c r="AK365" s="200" t="s"/>
      <c r="AL365" s="200" t="s"/>
      <c r="AM365" s="200" t="s"/>
    </row>
    <row r="366" spans="1:39" s="431" customFormat="true">
      <c r="A366" s="98">
        <v>365</v>
      </c>
      <c r="B366" s="210" t="s">
        <v>178</v>
      </c>
      <c r="C366" s="162">
        <v>46112.8571180556</v>
      </c>
      <c r="D366" s="167">
        <v>12</v>
      </c>
      <c r="E366" s="120">
        <v>46113</v>
      </c>
      <c r="F366" s="168" t="s">
        <v>224</v>
      </c>
      <c r="G366" s="168" t="s">
        <v>1394</v>
      </c>
      <c r="H366" s="96" t="s">
        <v>12</v>
      </c>
      <c r="I366" s="166" t="s">
        <v>646</v>
      </c>
      <c r="J366" s="97" t="s">
        <f>=_xlfn.TEXTJOIN("+",TRUE,_xlfn._xlws.FILTER(_xlfn.TEXTSPLIT(H366,,"+"),(_xlfn.TEXTSPLIT(H366,,"+")&lt;&gt;"埃米工具")*(_xlfn.TEXTSPLIT(H366,,"+")&lt;&gt;"埃米广告通")))</f>
        <v>12</v>
      </c>
      <c r="K366" s="109">
        <f>=EDATE(C366,D366)</f>
        <v>46477</v>
      </c>
      <c r="L366" s="191">
        <v>46120</v>
      </c>
      <c r="M366" s="128" t="s">
        <v>1097</v>
      </c>
      <c r="N366" s="96" t="s">
        <v>611</v>
      </c>
      <c r="O366" s="168" t="s"/>
      <c r="P366" s="168" t="s"/>
      <c r="Q366" s="171" t="s"/>
      <c r="R366" s="199" t="s"/>
      <c r="S366" s="199" t="s"/>
      <c r="T366" s="199" t="s"/>
      <c r="U366" s="199" t="s"/>
      <c r="V366" s="199" t="s"/>
      <c r="W366" s="199" t="s"/>
      <c r="X366" s="199" t="s"/>
      <c r="Y366" s="199" t="s"/>
      <c r="Z366" s="109" t="s"/>
      <c r="AA366" s="200" t="s"/>
      <c r="AB366" s="200" t="s"/>
      <c r="AC366" s="200" t="s"/>
      <c r="AD366" s="200" t="s"/>
      <c r="AE366" s="200" t="s"/>
      <c r="AF366" s="200" t="s"/>
      <c r="AG366" s="200" t="s"/>
      <c r="AH366" s="200" t="s"/>
      <c r="AI366" s="200" t="s"/>
      <c r="AJ366" s="200" t="s"/>
      <c r="AK366" s="200" t="s"/>
      <c r="AL366" s="200" t="s"/>
      <c r="AM366" s="200" t="s"/>
    </row>
    <row r="367" spans="1:39" s="431" customFormat="true">
      <c r="A367" s="97">
        <v>366</v>
      </c>
      <c r="B367" s="168" t="s">
        <v>179</v>
      </c>
      <c r="C367" s="162">
        <v>46112.8199884259</v>
      </c>
      <c r="D367" s="167">
        <v>12</v>
      </c>
      <c r="E367" s="120">
        <v>46113</v>
      </c>
      <c r="F367" s="168" t="s">
        <v>277</v>
      </c>
      <c r="G367" s="168" t="s">
        <v>1395</v>
      </c>
      <c r="H367" s="96" t="s">
        <v>606</v>
      </c>
      <c r="I367" s="166" t="s">
        <v>609</v>
      </c>
      <c r="J367" s="97" t="s">
        <f>=_xlfn.TEXTJOIN("+",TRUE,_xlfn._xlws.FILTER(_xlfn.TEXTSPLIT(H367,,"+"),(_xlfn.TEXTSPLIT(H367,,"+")&lt;&gt;"埃米工具")*(_xlfn.TEXTSPLIT(H367,,"+")&lt;&gt;"埃米广告通")))</f>
        <v>15</v>
      </c>
      <c r="K367" s="109">
        <f>=EDATE(C367,D367)</f>
        <v>46477</v>
      </c>
      <c r="L367" s="193">
        <v>46113</v>
      </c>
      <c r="M367" s="168" t="s">
        <v>1396</v>
      </c>
      <c r="N367" s="168" t="s"/>
      <c r="O367" s="168" t="s">
        <v>1296</v>
      </c>
      <c r="P367" s="168" t="s"/>
      <c r="Q367" s="171" t="s"/>
      <c r="R367" s="199" t="s"/>
      <c r="S367" s="199" t="s"/>
      <c r="T367" s="199" t="s"/>
      <c r="U367" s="199" t="s"/>
      <c r="V367" s="199" t="s"/>
      <c r="W367" s="199" t="s"/>
      <c r="X367" s="199" t="s"/>
      <c r="Y367" s="199" t="s"/>
      <c r="Z367" s="200" t="s"/>
      <c r="AA367" s="200" t="s"/>
      <c r="AB367" s="200" t="s"/>
      <c r="AC367" s="200" t="s"/>
      <c r="AD367" s="200" t="s"/>
      <c r="AE367" s="200" t="s"/>
      <c r="AF367" s="200" t="s"/>
      <c r="AG367" s="200" t="s"/>
      <c r="AH367" s="200" t="s"/>
      <c r="AI367" s="200" t="s"/>
      <c r="AJ367" s="200" t="s"/>
      <c r="AK367" s="200" t="s"/>
      <c r="AL367" s="200" t="s"/>
      <c r="AM367" s="200" t="s"/>
    </row>
    <row r="368" spans="1:39" s="431" customFormat="true">
      <c r="A368" s="97">
        <v>367</v>
      </c>
      <c r="B368" s="168" t="s">
        <v>1397</v>
      </c>
      <c r="C368" s="162">
        <v>46112.7961805556</v>
      </c>
      <c r="D368" s="167">
        <v>12</v>
      </c>
      <c r="E368" s="120">
        <v>46113</v>
      </c>
      <c r="F368" s="168" t="s">
        <v>236</v>
      </c>
      <c r="G368" s="168" t="s">
        <v>1398</v>
      </c>
      <c r="H368" s="96" t="s">
        <v>607</v>
      </c>
      <c r="I368" s="166" t="s">
        <v>646</v>
      </c>
      <c r="J368" s="97" t="s">
        <f>=_xlfn.TEXTJOIN("+",TRUE,_xlfn._xlws.FILTER(_xlfn.TEXTSPLIT(H368,,"+"),(_xlfn.TEXTSPLIT(H368,,"+")&lt;&gt;"埃米工具")*(_xlfn.TEXTSPLIT(H368,,"+")&lt;&gt;"埃米广告通")))</f>
        <v>607</v>
      </c>
      <c r="K368" s="109">
        <f>=EDATE(C368,D368)</f>
        <v>46477</v>
      </c>
      <c r="L368" s="168" t="s"/>
      <c r="M368" s="128" t="s"/>
      <c r="N368" s="96" t="s">
        <v>611</v>
      </c>
      <c r="O368" s="168" t="s"/>
      <c r="P368" s="168" t="s">
        <v>1399</v>
      </c>
      <c r="Q368" s="171" t="s"/>
      <c r="R368" s="199" t="s"/>
      <c r="S368" s="199" t="s"/>
      <c r="T368" s="199" t="s"/>
      <c r="U368" s="199" t="s"/>
      <c r="V368" s="199" t="s"/>
      <c r="W368" s="199" t="s"/>
      <c r="X368" s="199" t="s"/>
      <c r="Y368" s="199" t="s"/>
      <c r="Z368" s="109" t="s"/>
      <c r="AA368" s="200" t="s"/>
      <c r="AB368" s="200" t="s"/>
      <c r="AC368" s="200" t="s"/>
      <c r="AD368" s="200" t="s"/>
      <c r="AE368" s="200" t="s"/>
      <c r="AF368" s="200" t="s"/>
      <c r="AG368" s="200" t="s"/>
      <c r="AH368" s="200" t="s"/>
      <c r="AI368" s="200" t="s"/>
      <c r="AJ368" s="200" t="s"/>
      <c r="AK368" s="200" t="s"/>
      <c r="AL368" s="200" t="s"/>
      <c r="AM368" s="200" t="s"/>
    </row>
    <row r="369" spans="1:39" s="431" customFormat="true">
      <c r="A369" s="97">
        <v>368</v>
      </c>
      <c r="B369" s="168" t="s">
        <v>424</v>
      </c>
      <c r="C369" s="162">
        <v>46112.7928819445</v>
      </c>
      <c r="D369" s="167">
        <v>12</v>
      </c>
      <c r="E369" s="120">
        <v>46113</v>
      </c>
      <c r="F369" s="168" t="s">
        <v>277</v>
      </c>
      <c r="G369" s="168" t="s">
        <v>1400</v>
      </c>
      <c r="H369" s="96" t="s">
        <v>607</v>
      </c>
      <c r="I369" s="166" t="s">
        <v>609</v>
      </c>
      <c r="J369" s="97" t="s">
        <f>=_xlfn.TEXTJOIN("+",TRUE,_xlfn._xlws.FILTER(_xlfn.TEXTSPLIT(H369,,"+"),(_xlfn.TEXTSPLIT(H369,,"+")&lt;&gt;"埃米工具")*(_xlfn.TEXTSPLIT(H369,,"+")&lt;&gt;"埃米广告通")))</f>
        <v>607</v>
      </c>
      <c r="K369" s="109">
        <f>=EDATE(C369,D369)</f>
        <v>46477</v>
      </c>
      <c r="L369" s="168" t="s">
        <v>1387</v>
      </c>
      <c r="M369" s="168" t="s">
        <v>1387</v>
      </c>
      <c r="N369" s="168" t="s"/>
      <c r="O369" s="168" t="s">
        <v>1401</v>
      </c>
      <c r="P369" s="168" t="s"/>
      <c r="Q369" s="171" t="s"/>
      <c r="R369" s="199" t="s"/>
      <c r="S369" s="199" t="s"/>
      <c r="T369" s="199" t="s"/>
      <c r="U369" s="199" t="s"/>
      <c r="V369" s="199" t="s"/>
      <c r="W369" s="199" t="s"/>
      <c r="X369" s="199" t="s"/>
      <c r="Y369" s="199" t="s"/>
      <c r="Z369" s="200" t="s"/>
      <c r="AA369" s="200" t="s"/>
      <c r="AB369" s="200" t="s"/>
      <c r="AC369" s="200" t="s"/>
      <c r="AD369" s="200" t="s"/>
      <c r="AE369" s="200" t="s"/>
      <c r="AF369" s="200" t="s"/>
      <c r="AG369" s="200" t="s"/>
      <c r="AH369" s="200" t="s"/>
      <c r="AI369" s="200" t="s"/>
      <c r="AJ369" s="200" t="s"/>
      <c r="AK369" s="200" t="s"/>
      <c r="AL369" s="200" t="s"/>
      <c r="AM369" s="200" t="s"/>
    </row>
    <row r="370" spans="1:39" s="431" customFormat="true">
      <c r="A370" s="97">
        <v>369</v>
      </c>
      <c r="B370" s="168" t="s">
        <v>181</v>
      </c>
      <c r="C370" s="162">
        <v>46112.8089930556</v>
      </c>
      <c r="D370" s="167">
        <v>12</v>
      </c>
      <c r="E370" s="120">
        <v>46113</v>
      </c>
      <c r="F370" s="168" t="s">
        <v>236</v>
      </c>
      <c r="G370" s="168" t="s">
        <v>1402</v>
      </c>
      <c r="H370" s="96" t="s">
        <v>12</v>
      </c>
      <c r="I370" s="166" t="s">
        <v>609</v>
      </c>
      <c r="J370" s="97" t="s">
        <f>=_xlfn.TEXTJOIN("+",TRUE,_xlfn._xlws.FILTER(_xlfn.TEXTSPLIT(H370,,"+"),(_xlfn.TEXTSPLIT(H370,,"+")&lt;&gt;"埃米工具")*(_xlfn.TEXTSPLIT(H370,,"+")&lt;&gt;"埃米广告通")))</f>
        <v>12</v>
      </c>
      <c r="K370" s="109">
        <f>=EDATE(C370,D370)</f>
        <v>46477</v>
      </c>
      <c r="L370" s="191">
        <v>46114</v>
      </c>
      <c r="M370" s="128" t="s">
        <v>1403</v>
      </c>
      <c r="N370" s="96" t="s">
        <v>611</v>
      </c>
      <c r="O370" s="168" t="s">
        <v>1229</v>
      </c>
      <c r="P370" s="168" t="s"/>
      <c r="Q370" s="171" t="s"/>
      <c r="R370" s="199" t="s"/>
      <c r="S370" s="199" t="s"/>
      <c r="T370" s="199" t="s"/>
      <c r="U370" s="199" t="s"/>
      <c r="V370" s="199" t="s"/>
      <c r="W370" s="199" t="s"/>
      <c r="X370" s="199" t="s"/>
      <c r="Y370" s="199" t="s"/>
      <c r="Z370" s="109" t="s"/>
      <c r="AA370" s="200" t="s"/>
      <c r="AB370" s="200" t="s"/>
      <c r="AC370" s="200" t="s"/>
      <c r="AD370" s="200" t="s"/>
      <c r="AE370" s="200" t="s"/>
      <c r="AF370" s="200" t="s"/>
      <c r="AG370" s="200" t="s"/>
      <c r="AH370" s="200" t="s"/>
      <c r="AI370" s="200" t="s"/>
      <c r="AJ370" s="200" t="s"/>
      <c r="AK370" s="200" t="s"/>
      <c r="AL370" s="200" t="s"/>
      <c r="AM370" s="200" t="s"/>
    </row>
    <row r="371" spans="1:39" s="431" customFormat="true">
      <c r="A371" s="97">
        <v>370</v>
      </c>
      <c r="B371" s="168" t="s">
        <v>182</v>
      </c>
      <c r="C371" s="162">
        <v>46112.7850347222</v>
      </c>
      <c r="D371" s="167">
        <v>24</v>
      </c>
      <c r="E371" s="120">
        <v>46113</v>
      </c>
      <c r="F371" s="168" t="s">
        <v>236</v>
      </c>
      <c r="G371" s="168" t="s">
        <v>1404</v>
      </c>
      <c r="H371" s="96" t="s">
        <v>12</v>
      </c>
      <c r="I371" s="166" t="s">
        <v>609</v>
      </c>
      <c r="J371" s="97" t="s">
        <f>=_xlfn.TEXTJOIN("+",TRUE,_xlfn._xlws.FILTER(_xlfn.TEXTSPLIT(H371,,"+"),(_xlfn.TEXTSPLIT(H371,,"+")&lt;&gt;"埃米工具")*(_xlfn.TEXTSPLIT(H371,,"+")&lt;&gt;"埃米广告通")))</f>
        <v>12</v>
      </c>
      <c r="K371" s="109">
        <f>=EDATE(C371,D371)</f>
        <v>46843</v>
      </c>
      <c r="L371" s="193">
        <v>46125</v>
      </c>
      <c r="M371" s="128" t="s">
        <v>610</v>
      </c>
      <c r="N371" s="96" t="s">
        <v>611</v>
      </c>
      <c r="O371" s="168" t="s">
        <v>1405</v>
      </c>
      <c r="P371" s="168" t="s">
        <v>1406</v>
      </c>
      <c r="Q371" s="171" t="s"/>
      <c r="R371" s="199" t="s"/>
      <c r="S371" s="199" t="s"/>
      <c r="T371" s="199" t="s"/>
      <c r="U371" s="199" t="s"/>
      <c r="V371" s="199" t="s"/>
      <c r="W371" s="199" t="s"/>
      <c r="X371" s="199" t="s"/>
      <c r="Y371" s="199" t="s"/>
      <c r="Z371" s="109" t="s"/>
      <c r="AA371" s="200" t="s"/>
      <c r="AB371" s="200" t="s"/>
      <c r="AC371" s="200" t="s"/>
      <c r="AD371" s="200" t="s"/>
      <c r="AE371" s="200" t="s"/>
      <c r="AF371" s="200" t="s"/>
      <c r="AG371" s="200" t="s"/>
      <c r="AH371" s="200" t="s"/>
      <c r="AI371" s="200" t="s"/>
      <c r="AJ371" s="200" t="s"/>
      <c r="AK371" s="200" t="s"/>
      <c r="AL371" s="200" t="s"/>
      <c r="AM371" s="200" t="s"/>
    </row>
    <row r="372" spans="1:39" s="431" customFormat="true">
      <c r="A372" s="97">
        <v>371</v>
      </c>
      <c r="B372" s="168" t="s">
        <v>183</v>
      </c>
      <c r="C372" s="162">
        <v>46112.7990972222</v>
      </c>
      <c r="D372" s="167">
        <v>12</v>
      </c>
      <c r="E372" s="120">
        <v>46113</v>
      </c>
      <c r="F372" s="168" t="s">
        <v>228</v>
      </c>
      <c r="G372" s="168" t="s">
        <v>1407</v>
      </c>
      <c r="H372" s="96" t="s">
        <v>12</v>
      </c>
      <c r="I372" s="166" t="s">
        <v>609</v>
      </c>
      <c r="J372" s="97" t="s">
        <f>=_xlfn.TEXTJOIN("+",TRUE,_xlfn._xlws.FILTER(_xlfn.TEXTSPLIT(H372,,"+"),(_xlfn.TEXTSPLIT(H372,,"+")&lt;&gt;"埃米工具")*(_xlfn.TEXTSPLIT(H372,,"+")&lt;&gt;"埃米广告通")))</f>
        <v>12</v>
      </c>
      <c r="K372" s="109">
        <f>=EDATE(C372,D372)</f>
        <v>46477</v>
      </c>
      <c r="L372" s="191">
        <v>46115</v>
      </c>
      <c r="M372" s="175" t="s">
        <v>1266</v>
      </c>
      <c r="N372" s="96" t="s">
        <v>611</v>
      </c>
      <c r="O372" s="168" t="s">
        <v>1373</v>
      </c>
      <c r="P372" s="168" t="s"/>
      <c r="Q372" s="171" t="s"/>
      <c r="R372" s="199" t="s"/>
      <c r="S372" s="199" t="s"/>
      <c r="T372" s="199" t="s"/>
      <c r="U372" s="199" t="s"/>
      <c r="V372" s="199" t="s"/>
      <c r="W372" s="199" t="s"/>
      <c r="X372" s="199" t="s"/>
      <c r="Y372" s="199" t="s"/>
      <c r="Z372" s="200" t="s"/>
      <c r="AA372" s="200" t="s"/>
      <c r="AB372" s="200" t="s"/>
      <c r="AC372" s="200" t="s"/>
      <c r="AD372" s="200" t="s"/>
      <c r="AE372" s="200" t="s"/>
      <c r="AF372" s="200" t="s"/>
      <c r="AG372" s="200" t="s"/>
      <c r="AH372" s="200" t="s"/>
      <c r="AI372" s="200" t="s"/>
      <c r="AJ372" s="200" t="s"/>
      <c r="AK372" s="200" t="s"/>
      <c r="AL372" s="200" t="s"/>
      <c r="AM372" s="200" t="s"/>
    </row>
    <row r="373" spans="1:39" s="431" customFormat="true">
      <c r="A373" s="97">
        <v>372</v>
      </c>
      <c r="B373" s="168" t="s">
        <v>432</v>
      </c>
      <c r="C373" s="162">
        <v>46112.7872685185</v>
      </c>
      <c r="D373" s="167">
        <v>12</v>
      </c>
      <c r="E373" s="120">
        <v>46113</v>
      </c>
      <c r="F373" s="168" t="s">
        <v>215</v>
      </c>
      <c r="G373" s="168" t="s">
        <v>1408</v>
      </c>
      <c r="H373" s="96" t="s">
        <v>607</v>
      </c>
      <c r="I373" s="166" t="s">
        <v>609</v>
      </c>
      <c r="J373" s="97" t="s">
        <f>=_xlfn.TEXTJOIN("+",TRUE,_xlfn._xlws.FILTER(_xlfn.TEXTSPLIT(H373,,"+"),(_xlfn.TEXTSPLIT(H373,,"+")&lt;&gt;"埃米工具")*(_xlfn.TEXTSPLIT(H373,,"+")&lt;&gt;"埃米广告通")))</f>
        <v>607</v>
      </c>
      <c r="K373" s="109">
        <f>=EDATE(C373,D373)</f>
        <v>46477</v>
      </c>
      <c r="L373" s="168" t="s"/>
      <c r="M373" s="128" t="s"/>
      <c r="N373" s="96" t="s">
        <v>611</v>
      </c>
      <c r="O373" s="205" t="s">
        <v>1075</v>
      </c>
      <c r="P373" s="168" t="s"/>
      <c r="Q373" s="171" t="s"/>
      <c r="R373" s="199" t="s"/>
      <c r="S373" s="199" t="s"/>
      <c r="T373" s="199" t="s"/>
      <c r="U373" s="199" t="s"/>
      <c r="V373" s="199" t="s"/>
      <c r="W373" s="199" t="s"/>
      <c r="X373" s="199" t="s"/>
      <c r="Y373" s="199" t="s"/>
      <c r="Z373" s="200" t="s"/>
      <c r="AA373" s="200" t="s"/>
      <c r="AB373" s="200" t="s"/>
      <c r="AC373" s="200" t="s"/>
      <c r="AD373" s="200" t="s"/>
      <c r="AE373" s="200" t="s"/>
      <c r="AF373" s="200" t="s"/>
      <c r="AG373" s="200" t="s"/>
      <c r="AH373" s="200" t="s"/>
      <c r="AI373" s="200" t="s"/>
      <c r="AJ373" s="200" t="s"/>
      <c r="AK373" s="200" t="s"/>
      <c r="AL373" s="200" t="s"/>
      <c r="AM373" s="200" t="s"/>
    </row>
    <row r="374" spans="1:39" s="431" customFormat="true">
      <c r="A374" s="97">
        <v>373</v>
      </c>
      <c r="B374" s="168" t="s">
        <v>1409</v>
      </c>
      <c r="C374" s="162">
        <v>46112.7697453704</v>
      </c>
      <c r="D374" s="167">
        <v>12</v>
      </c>
      <c r="E374" s="120">
        <v>46113</v>
      </c>
      <c r="F374" s="168" t="s">
        <v>215</v>
      </c>
      <c r="G374" s="168" t="s">
        <v>1410</v>
      </c>
      <c r="H374" s="96" t="s">
        <v>607</v>
      </c>
      <c r="I374" s="166" t="s">
        <v>609</v>
      </c>
      <c r="J374" s="97" t="s">
        <f>=_xlfn.TEXTJOIN("+",TRUE,_xlfn._xlws.FILTER(_xlfn.TEXTSPLIT(H374,,"+"),(_xlfn.TEXTSPLIT(H374,,"+")&lt;&gt;"埃米工具")*(_xlfn.TEXTSPLIT(H374,,"+")&lt;&gt;"埃米广告通")))</f>
        <v>607</v>
      </c>
      <c r="K374" s="109">
        <f>=EDATE(C374,D374)</f>
        <v>46477</v>
      </c>
      <c r="L374" s="168" t="s"/>
      <c r="M374" s="128" t="s"/>
      <c r="N374" s="96" t="s">
        <v>611</v>
      </c>
      <c r="O374" s="205" t="s">
        <v>1075</v>
      </c>
      <c r="P374" s="168" t="s"/>
      <c r="Q374" s="171" t="s"/>
      <c r="R374" s="199" t="s"/>
      <c r="S374" s="199" t="s"/>
      <c r="T374" s="199" t="s"/>
      <c r="U374" s="199" t="s"/>
      <c r="V374" s="199" t="s"/>
      <c r="W374" s="199" t="s"/>
      <c r="X374" s="199" t="s"/>
      <c r="Y374" s="199" t="s"/>
      <c r="Z374" s="200" t="s"/>
      <c r="AA374" s="200" t="s"/>
      <c r="AB374" s="200" t="s"/>
      <c r="AC374" s="200" t="s"/>
      <c r="AD374" s="200" t="s"/>
      <c r="AE374" s="200" t="s"/>
      <c r="AF374" s="200" t="s"/>
      <c r="AG374" s="200" t="s"/>
      <c r="AH374" s="200" t="s"/>
      <c r="AI374" s="200" t="s"/>
      <c r="AJ374" s="200" t="s"/>
      <c r="AK374" s="200" t="s"/>
      <c r="AL374" s="200" t="s"/>
      <c r="AM374" s="200" t="s"/>
    </row>
    <row r="375" spans="1:39" s="431" customFormat="true">
      <c r="A375" s="97">
        <v>374</v>
      </c>
      <c r="B375" s="168" t="s">
        <v>184</v>
      </c>
      <c r="C375" s="162">
        <v>46112.8207523148</v>
      </c>
      <c r="D375" s="167">
        <v>12</v>
      </c>
      <c r="E375" s="120">
        <v>46113</v>
      </c>
      <c r="F375" s="168" t="s">
        <v>228</v>
      </c>
      <c r="G375" s="168" t="s">
        <v>1411</v>
      </c>
      <c r="H375" s="96" t="s">
        <v>606</v>
      </c>
      <c r="I375" s="166" t="s">
        <v>609</v>
      </c>
      <c r="J375" s="97" t="s">
        <f>=_xlfn.TEXTJOIN("+",TRUE,_xlfn._xlws.FILTER(_xlfn.TEXTSPLIT(H375,,"+"),(_xlfn.TEXTSPLIT(H375,,"+")&lt;&gt;"埃米工具")*(_xlfn.TEXTSPLIT(H375,,"+")&lt;&gt;"埃米广告通")))</f>
        <v>15</v>
      </c>
      <c r="K375" s="109">
        <f>=EDATE(C375,D375)</f>
        <v>46477</v>
      </c>
      <c r="L375" s="191">
        <v>46116</v>
      </c>
      <c r="M375" s="168" t="s">
        <v>1412</v>
      </c>
      <c r="N375" s="96" t="s">
        <v>611</v>
      </c>
      <c r="O375" s="168" t="s">
        <v>1320</v>
      </c>
      <c r="P375" s="168" t="s"/>
      <c r="Q375" s="171" t="s"/>
      <c r="R375" s="199" t="s"/>
      <c r="S375" s="199" t="s"/>
      <c r="T375" s="199" t="s"/>
      <c r="U375" s="199" t="s"/>
      <c r="V375" s="199" t="s"/>
      <c r="W375" s="199" t="s"/>
      <c r="X375" s="199" t="s"/>
      <c r="Y375" s="199" t="s"/>
      <c r="Z375" s="109" t="s"/>
      <c r="AA375" s="200" t="s"/>
      <c r="AB375" s="200" t="s"/>
      <c r="AC375" s="200" t="s"/>
      <c r="AD375" s="200" t="s"/>
      <c r="AE375" s="200" t="s"/>
      <c r="AF375" s="200" t="s"/>
      <c r="AG375" s="200" t="s"/>
      <c r="AH375" s="200" t="s"/>
      <c r="AI375" s="200" t="s"/>
      <c r="AJ375" s="200" t="s"/>
      <c r="AK375" s="200" t="s"/>
      <c r="AL375" s="200" t="s"/>
      <c r="AM375" s="200" t="s"/>
    </row>
    <row r="376" spans="1:39" s="431" customFormat="true">
      <c r="A376" s="97">
        <v>375</v>
      </c>
      <c r="B376" s="168" t="s">
        <v>186</v>
      </c>
      <c r="C376" s="162">
        <v>46112.7324074074</v>
      </c>
      <c r="D376" s="167">
        <v>12</v>
      </c>
      <c r="E376" s="120">
        <v>46113</v>
      </c>
      <c r="F376" s="168" t="s">
        <v>228</v>
      </c>
      <c r="G376" s="168" t="s">
        <v>1413</v>
      </c>
      <c r="H376" s="96" t="s">
        <v>12</v>
      </c>
      <c r="I376" s="166" t="s">
        <v>609</v>
      </c>
      <c r="J376" s="97" t="s">
        <f>=_xlfn.TEXTJOIN("+",TRUE,_xlfn._xlws.FILTER(_xlfn.TEXTSPLIT(H376,,"+"),(_xlfn.TEXTSPLIT(H376,,"+")&lt;&gt;"埃米工具")*(_xlfn.TEXTSPLIT(H376,,"+")&lt;&gt;"埃米广告通")))</f>
        <v>12</v>
      </c>
      <c r="K376" s="109">
        <f>=EDATE(C376,D376)</f>
        <v>46477</v>
      </c>
      <c r="L376" s="191">
        <v>46125</v>
      </c>
      <c r="M376" s="128" t="s">
        <v>610</v>
      </c>
      <c r="N376" s="96" t="s">
        <v>611</v>
      </c>
      <c r="O376" s="168" t="s"/>
      <c r="P376" s="168" t="s"/>
      <c r="Q376" s="171" t="s"/>
      <c r="R376" s="199" t="s"/>
      <c r="S376" s="199" t="s"/>
      <c r="T376" s="199" t="s"/>
      <c r="U376" s="199" t="s"/>
      <c r="V376" s="199" t="s"/>
      <c r="W376" s="199" t="s"/>
      <c r="X376" s="199" t="s"/>
      <c r="Y376" s="199" t="s"/>
      <c r="Z376" s="109" t="s"/>
      <c r="AA376" s="200" t="s"/>
      <c r="AB376" s="200" t="s"/>
      <c r="AC376" s="200" t="s"/>
      <c r="AD376" s="200" t="s"/>
      <c r="AE376" s="200" t="s"/>
      <c r="AF376" s="200" t="s"/>
      <c r="AG376" s="200" t="s"/>
      <c r="AH376" s="200" t="s"/>
      <c r="AI376" s="200" t="s"/>
      <c r="AJ376" s="200" t="s"/>
      <c r="AK376" s="200" t="s"/>
      <c r="AL376" s="200" t="s"/>
      <c r="AM376" s="200" t="s"/>
    </row>
    <row r="377" spans="1:39" s="431" customFormat="true">
      <c r="A377" s="97">
        <v>376</v>
      </c>
      <c r="B377" s="168" t="s">
        <v>187</v>
      </c>
      <c r="C377" s="162">
        <v>46112.7476388889</v>
      </c>
      <c r="D377" s="167">
        <v>12</v>
      </c>
      <c r="E377" s="120">
        <v>46113</v>
      </c>
      <c r="F377" s="168" t="s">
        <v>277</v>
      </c>
      <c r="G377" s="168" t="s">
        <v>1414</v>
      </c>
      <c r="H377" s="96" t="s">
        <v>12</v>
      </c>
      <c r="I377" s="166" t="s">
        <v>609</v>
      </c>
      <c r="J377" s="97" t="s">
        <f>=_xlfn.TEXTJOIN("+",TRUE,_xlfn._xlws.FILTER(_xlfn.TEXTSPLIT(H377,,"+"),(_xlfn.TEXTSPLIT(H377,,"+")&lt;&gt;"埃米工具")*(_xlfn.TEXTSPLIT(H377,,"+")&lt;&gt;"埃米广告通")))</f>
        <v>12</v>
      </c>
      <c r="K377" s="109">
        <f>=EDATE(C377,D377)</f>
        <v>46477</v>
      </c>
      <c r="L377" s="193">
        <v>46113</v>
      </c>
      <c r="M377" s="168" t="s">
        <v>1415</v>
      </c>
      <c r="N377" s="168" t="s"/>
      <c r="O377" s="168" t="s">
        <v>1296</v>
      </c>
      <c r="P377" s="168" t="s"/>
      <c r="Q377" s="196" t="s">
        <v>845</v>
      </c>
      <c r="R377" s="199" t="s"/>
      <c r="S377" s="199" t="s"/>
      <c r="T377" s="199" t="s">
        <v>277</v>
      </c>
      <c r="U377" s="199" t="s"/>
      <c r="V377" s="199" t="s"/>
      <c r="W377" s="199" t="s"/>
      <c r="X377" s="199" t="s"/>
      <c r="Y377" s="199" t="s"/>
      <c r="Z377" s="200" t="s"/>
      <c r="AA377" s="200" t="s"/>
      <c r="AB377" s="200" t="s"/>
      <c r="AC377" s="200" t="s"/>
      <c r="AD377" s="200" t="s"/>
      <c r="AE377" s="200" t="s"/>
      <c r="AF377" s="200" t="s"/>
      <c r="AG377" s="200" t="s"/>
      <c r="AH377" s="200" t="s"/>
      <c r="AI377" s="200" t="s"/>
      <c r="AJ377" s="200" t="s"/>
      <c r="AK377" s="200" t="s"/>
      <c r="AL377" s="200" t="s"/>
      <c r="AM377" s="200" t="s"/>
    </row>
    <row r="378" spans="1:39" s="431" customFormat="true">
      <c r="A378" s="97">
        <v>377</v>
      </c>
      <c r="B378" s="168" t="s">
        <v>434</v>
      </c>
      <c r="C378" s="162">
        <v>46112.695787037</v>
      </c>
      <c r="D378" s="167">
        <v>12</v>
      </c>
      <c r="E378" s="120">
        <v>46113</v>
      </c>
      <c r="F378" s="168" t="s">
        <v>215</v>
      </c>
      <c r="G378" s="168" t="s">
        <v>1416</v>
      </c>
      <c r="H378" s="96" t="s">
        <v>607</v>
      </c>
      <c r="I378" s="166" t="s">
        <v>609</v>
      </c>
      <c r="J378" s="97" t="s">
        <f>=_xlfn.TEXTJOIN("+",TRUE,_xlfn._xlws.FILTER(_xlfn.TEXTSPLIT(H378,,"+"),(_xlfn.TEXTSPLIT(H378,,"+")&lt;&gt;"埃米工具")*(_xlfn.TEXTSPLIT(H378,,"+")&lt;&gt;"埃米广告通")))</f>
        <v>607</v>
      </c>
      <c r="K378" s="109">
        <f>=EDATE(C378,D378)</f>
        <v>46477</v>
      </c>
      <c r="L378" s="168" t="s"/>
      <c r="M378" s="128" t="s"/>
      <c r="N378" s="96" t="s">
        <v>611</v>
      </c>
      <c r="O378" s="205" t="s">
        <v>1075</v>
      </c>
      <c r="P378" s="168" t="s"/>
      <c r="Q378" s="171" t="s"/>
      <c r="R378" s="199" t="s"/>
      <c r="S378" s="199" t="s"/>
      <c r="T378" s="199" t="s"/>
      <c r="U378" s="199" t="s"/>
      <c r="V378" s="199" t="s"/>
      <c r="W378" s="199" t="s"/>
      <c r="X378" s="199" t="s"/>
      <c r="Y378" s="199" t="s"/>
      <c r="Z378" s="200" t="s"/>
      <c r="AA378" s="200" t="s"/>
      <c r="AB378" s="200" t="s"/>
      <c r="AC378" s="200" t="s"/>
      <c r="AD378" s="200" t="s"/>
      <c r="AE378" s="200" t="s"/>
      <c r="AF378" s="200" t="s"/>
      <c r="AG378" s="200" t="s"/>
      <c r="AH378" s="200" t="s"/>
      <c r="AI378" s="200" t="s"/>
      <c r="AJ378" s="200" t="s"/>
      <c r="AK378" s="200" t="s"/>
      <c r="AL378" s="200" t="s"/>
      <c r="AM378" s="200" t="s"/>
    </row>
    <row r="379" spans="1:39" s="431" customFormat="true">
      <c r="A379" s="97">
        <v>378</v>
      </c>
      <c r="B379" s="168" t="s">
        <v>188</v>
      </c>
      <c r="C379" s="162">
        <v>46112.6934837962</v>
      </c>
      <c r="D379" s="167">
        <v>12</v>
      </c>
      <c r="E379" s="120">
        <v>46113</v>
      </c>
      <c r="F379" s="168" t="s">
        <v>228</v>
      </c>
      <c r="G379" s="168" t="s">
        <v>1417</v>
      </c>
      <c r="H379" s="96" t="s">
        <v>12</v>
      </c>
      <c r="I379" s="166" t="s">
        <v>609</v>
      </c>
      <c r="J379" s="97" t="s">
        <f>=_xlfn.TEXTJOIN("+",TRUE,_xlfn._xlws.FILTER(_xlfn.TEXTSPLIT(H379,,"+"),(_xlfn.TEXTSPLIT(H379,,"+")&lt;&gt;"埃米工具")*(_xlfn.TEXTSPLIT(H379,,"+")&lt;&gt;"埃米广告通")))</f>
        <v>12</v>
      </c>
      <c r="K379" s="109">
        <f>=EDATE(C379,D379)</f>
        <v>46477</v>
      </c>
      <c r="L379" s="191">
        <v>46113</v>
      </c>
      <c r="M379" s="195" t="s">
        <v>1418</v>
      </c>
      <c r="N379" s="96" t="s">
        <v>611</v>
      </c>
      <c r="O379" s="168" t="s">
        <v>1373</v>
      </c>
      <c r="P379" s="168" t="s">
        <v>1419</v>
      </c>
      <c r="Q379" s="171" t="s"/>
      <c r="R379" s="199" t="s"/>
      <c r="S379" s="199" t="s"/>
      <c r="T379" s="199" t="s"/>
      <c r="U379" s="199" t="s"/>
      <c r="V379" s="199" t="s"/>
      <c r="W379" s="199" t="s"/>
      <c r="X379" s="199" t="s"/>
      <c r="Y379" s="199" t="s"/>
      <c r="Z379" s="109" t="s"/>
      <c r="AA379" s="200" t="s"/>
      <c r="AB379" s="200" t="s"/>
      <c r="AC379" s="200" t="s"/>
      <c r="AD379" s="200" t="s"/>
      <c r="AE379" s="200" t="s"/>
      <c r="AF379" s="200" t="s"/>
      <c r="AG379" s="200" t="s"/>
      <c r="AH379" s="200" t="s"/>
      <c r="AI379" s="200" t="s"/>
      <c r="AJ379" s="200" t="s"/>
      <c r="AK379" s="200" t="s"/>
      <c r="AL379" s="200" t="s"/>
      <c r="AM379" s="200" t="s"/>
    </row>
    <row r="380" spans="1:39" s="431" customFormat="true">
      <c r="A380" s="97">
        <v>379</v>
      </c>
      <c r="B380" s="168" t="s">
        <v>189</v>
      </c>
      <c r="C380" s="162">
        <v>46112.77</v>
      </c>
      <c r="D380" s="167">
        <v>12</v>
      </c>
      <c r="E380" s="120">
        <v>46113</v>
      </c>
      <c r="F380" s="168" t="s">
        <v>228</v>
      </c>
      <c r="G380" s="168" t="s">
        <v>1420</v>
      </c>
      <c r="H380" s="96" t="s">
        <v>12</v>
      </c>
      <c r="I380" s="166" t="s">
        <v>609</v>
      </c>
      <c r="J380" s="97" t="s">
        <f>=_xlfn.TEXTJOIN("+",TRUE,_xlfn._xlws.FILTER(_xlfn.TEXTSPLIT(H380,,"+"),(_xlfn.TEXTSPLIT(H380,,"+")&lt;&gt;"埃米工具")*(_xlfn.TEXTSPLIT(H380,,"+")&lt;&gt;"埃米广告通")))</f>
        <v>12</v>
      </c>
      <c r="K380" s="109">
        <f>=EDATE(C380,D380)</f>
        <v>46477</v>
      </c>
      <c r="L380" s="191">
        <v>46115</v>
      </c>
      <c r="M380" s="175" t="s">
        <v>953</v>
      </c>
      <c r="N380" s="96" t="s">
        <v>611</v>
      </c>
      <c r="O380" s="168" t="s">
        <v>1421</v>
      </c>
      <c r="P380" s="168" t="s"/>
      <c r="Q380" s="171" t="s"/>
      <c r="R380" s="199" t="s"/>
      <c r="S380" s="199" t="s"/>
      <c r="T380" s="199" t="s"/>
      <c r="U380" s="199" t="s"/>
      <c r="V380" s="199" t="s"/>
      <c r="W380" s="199" t="s"/>
      <c r="X380" s="199" t="s"/>
      <c r="Y380" s="199" t="s"/>
      <c r="Z380" s="200" t="s"/>
      <c r="AA380" s="200" t="s"/>
      <c r="AB380" s="200" t="s"/>
      <c r="AC380" s="200" t="s"/>
      <c r="AD380" s="200" t="s"/>
      <c r="AE380" s="200" t="s"/>
      <c r="AF380" s="200" t="s"/>
      <c r="AG380" s="200" t="s"/>
      <c r="AH380" s="200" t="s"/>
      <c r="AI380" s="200" t="s"/>
      <c r="AJ380" s="200" t="s"/>
      <c r="AK380" s="200" t="s"/>
      <c r="AL380" s="200" t="s"/>
      <c r="AM380" s="200" t="s"/>
    </row>
    <row r="381" spans="1:39" s="431" customFormat="true">
      <c r="A381" s="97">
        <v>380</v>
      </c>
      <c r="B381" s="168" t="s">
        <v>436</v>
      </c>
      <c r="C381" s="162">
        <v>46112.7752199074</v>
      </c>
      <c r="D381" s="167">
        <v>12</v>
      </c>
      <c r="E381" s="120">
        <v>46113</v>
      </c>
      <c r="F381" s="168" t="s">
        <v>215</v>
      </c>
      <c r="G381" s="168" t="s">
        <v>1422</v>
      </c>
      <c r="H381" s="96" t="s">
        <v>607</v>
      </c>
      <c r="I381" s="166" t="s">
        <v>609</v>
      </c>
      <c r="J381" s="97" t="s">
        <f>=_xlfn.TEXTJOIN("+",TRUE,_xlfn._xlws.FILTER(_xlfn.TEXTSPLIT(H381,,"+"),(_xlfn.TEXTSPLIT(H381,,"+")&lt;&gt;"埃米工具")*(_xlfn.TEXTSPLIT(H381,,"+")&lt;&gt;"埃米广告通")))</f>
        <v>607</v>
      </c>
      <c r="K381" s="109">
        <f>=EDATE(C381,D381)</f>
        <v>46477</v>
      </c>
      <c r="L381" s="168" t="s"/>
      <c r="M381" s="128" t="s"/>
      <c r="N381" s="96" t="s">
        <v>611</v>
      </c>
      <c r="O381" s="205" t="s">
        <v>1075</v>
      </c>
      <c r="P381" s="168" t="s"/>
      <c r="Q381" s="171" t="s"/>
      <c r="R381" s="199" t="s"/>
      <c r="S381" s="199" t="s"/>
      <c r="T381" s="199" t="s"/>
      <c r="U381" s="199" t="s"/>
      <c r="V381" s="199" t="s"/>
      <c r="W381" s="199" t="s"/>
      <c r="X381" s="199" t="s"/>
      <c r="Y381" s="199" t="s"/>
      <c r="Z381" s="200" t="s"/>
      <c r="AA381" s="200" t="s"/>
      <c r="AB381" s="200" t="s"/>
      <c r="AC381" s="200" t="s"/>
      <c r="AD381" s="200" t="s"/>
      <c r="AE381" s="200" t="s"/>
      <c r="AF381" s="200" t="s"/>
      <c r="AG381" s="200" t="s"/>
      <c r="AH381" s="200" t="s"/>
      <c r="AI381" s="200" t="s"/>
      <c r="AJ381" s="200" t="s"/>
      <c r="AK381" s="200" t="s"/>
      <c r="AL381" s="200" t="s"/>
      <c r="AM381" s="200" t="s"/>
    </row>
    <row r="382" spans="1:39" s="431" customFormat="true">
      <c r="A382" s="97">
        <v>381</v>
      </c>
      <c r="B382" s="168" t="s">
        <v>190</v>
      </c>
      <c r="C382" s="162">
        <v>46112.6894560185</v>
      </c>
      <c r="D382" s="167">
        <v>12</v>
      </c>
      <c r="E382" s="120">
        <v>46113</v>
      </c>
      <c r="F382" s="168" t="s">
        <v>236</v>
      </c>
      <c r="G382" s="168" t="s">
        <v>1423</v>
      </c>
      <c r="H382" s="96" t="s">
        <v>12</v>
      </c>
      <c r="I382" s="166" t="s">
        <v>609</v>
      </c>
      <c r="J382" s="97" t="s">
        <f>=_xlfn.TEXTJOIN("+",TRUE,_xlfn._xlws.FILTER(_xlfn.TEXTSPLIT(H382,,"+"),(_xlfn.TEXTSPLIT(H382,,"+")&lt;&gt;"埃米工具")*(_xlfn.TEXTSPLIT(H382,,"+")&lt;&gt;"埃米广告通")))</f>
        <v>12</v>
      </c>
      <c r="K382" s="109">
        <f>=EDATE(C382,D382)</f>
        <v>46477</v>
      </c>
      <c r="L382" s="191">
        <v>46120</v>
      </c>
      <c r="M382" s="128" t="s">
        <v>1380</v>
      </c>
      <c r="N382" s="211" t="s">
        <v>611</v>
      </c>
      <c r="O382" s="168" t="s">
        <v>1229</v>
      </c>
      <c r="P382" s="168" t="s">
        <v>1424</v>
      </c>
      <c r="Q382" s="171" t="s"/>
      <c r="R382" s="199" t="s"/>
      <c r="S382" s="199" t="s"/>
      <c r="T382" s="199" t="s"/>
      <c r="U382" s="199" t="s"/>
      <c r="V382" s="199" t="s"/>
      <c r="W382" s="199" t="s"/>
      <c r="X382" s="199" t="s"/>
      <c r="Y382" s="199" t="s"/>
      <c r="Z382" s="109" t="s"/>
      <c r="AA382" s="200" t="s"/>
      <c r="AB382" s="200" t="s"/>
      <c r="AC382" s="200" t="s"/>
      <c r="AD382" s="200" t="s"/>
      <c r="AE382" s="200" t="s"/>
      <c r="AF382" s="200" t="s"/>
      <c r="AG382" s="200" t="s"/>
      <c r="AH382" s="200" t="s"/>
      <c r="AI382" s="200" t="s"/>
      <c r="AJ382" s="200" t="s"/>
      <c r="AK382" s="200" t="s"/>
      <c r="AL382" s="200" t="s"/>
      <c r="AM382" s="200" t="s"/>
    </row>
    <row r="383" spans="1:39" s="431" customFormat="true">
      <c r="A383" s="97">
        <v>382</v>
      </c>
      <c r="B383" s="168" t="s">
        <v>1425</v>
      </c>
      <c r="C383" s="162">
        <v>46112.7322337962</v>
      </c>
      <c r="D383" s="167">
        <v>12</v>
      </c>
      <c r="E383" s="120">
        <v>46113</v>
      </c>
      <c r="F383" s="168" t="s">
        <v>234</v>
      </c>
      <c r="G383" s="168" t="s">
        <v>1426</v>
      </c>
      <c r="H383" s="96" t="s">
        <v>607</v>
      </c>
      <c r="I383" s="166" t="s">
        <v>609</v>
      </c>
      <c r="J383" s="97" t="s">
        <f>=_xlfn.TEXTJOIN("+",TRUE,_xlfn._xlws.FILTER(_xlfn.TEXTSPLIT(H383,,"+"),(_xlfn.TEXTSPLIT(H383,,"+")&lt;&gt;"埃米工具")*(_xlfn.TEXTSPLIT(H383,,"+")&lt;&gt;"埃米广告通")))</f>
        <v>607</v>
      </c>
      <c r="K383" s="109">
        <f>=EDATE(C383,D383)</f>
        <v>46477</v>
      </c>
      <c r="L383" s="168" t="s"/>
      <c r="M383" s="128" t="s"/>
      <c r="N383" s="168" t="s"/>
      <c r="O383" s="168" t="s"/>
      <c r="P383" s="168" t="s"/>
      <c r="Q383" s="171" t="s"/>
      <c r="R383" s="199" t="s"/>
      <c r="S383" s="199" t="s"/>
      <c r="T383" s="199" t="s"/>
      <c r="U383" s="199" t="s"/>
      <c r="V383" s="199" t="s"/>
      <c r="W383" s="199" t="s"/>
      <c r="X383" s="199" t="s"/>
      <c r="Y383" s="199" t="s"/>
      <c r="Z383" s="109" t="s"/>
      <c r="AA383" s="200" t="s"/>
      <c r="AB383" s="200" t="s"/>
      <c r="AC383" s="200" t="s"/>
      <c r="AD383" s="200" t="s"/>
      <c r="AE383" s="200" t="s"/>
      <c r="AF383" s="200" t="s"/>
      <c r="AG383" s="200" t="s"/>
      <c r="AH383" s="200" t="s"/>
      <c r="AI383" s="200" t="s"/>
      <c r="AJ383" s="200" t="s"/>
      <c r="AK383" s="200" t="s"/>
      <c r="AL383" s="200" t="s"/>
      <c r="AM383" s="200" t="s"/>
    </row>
    <row r="384" spans="1:39" s="431" customFormat="true">
      <c r="A384" s="97">
        <v>383</v>
      </c>
      <c r="B384" s="210" t="s">
        <v>191</v>
      </c>
      <c r="C384" s="162">
        <v>46112.7238888889</v>
      </c>
      <c r="D384" s="167">
        <v>12</v>
      </c>
      <c r="E384" s="120">
        <v>46113</v>
      </c>
      <c r="F384" s="168" t="s">
        <v>228</v>
      </c>
      <c r="G384" s="168" t="s">
        <v>1427</v>
      </c>
      <c r="H384" s="96" t="s">
        <v>606</v>
      </c>
      <c r="I384" s="166" t="s">
        <v>609</v>
      </c>
      <c r="J384" s="97" t="s">
        <f>=_xlfn.TEXTJOIN("+",TRUE,_xlfn._xlws.FILTER(_xlfn.TEXTSPLIT(H384,,"+"),(_xlfn.TEXTSPLIT(H384,,"+")&lt;&gt;"埃米工具")*(_xlfn.TEXTSPLIT(H384,,"+")&lt;&gt;"埃米广告通")))</f>
        <v>15</v>
      </c>
      <c r="K384" s="109">
        <f>=EDATE(C384,D384)</f>
        <v>46477</v>
      </c>
      <c r="L384" s="191">
        <v>46114</v>
      </c>
      <c r="M384" s="175" t="s">
        <v>1428</v>
      </c>
      <c r="N384" s="101" t="s">
        <v>611</v>
      </c>
      <c r="O384" s="168" t="s">
        <v>1429</v>
      </c>
      <c r="P384" s="168" t="s">
        <v>1293</v>
      </c>
      <c r="Q384" s="171" t="s"/>
      <c r="R384" s="199" t="s"/>
      <c r="S384" s="199" t="s"/>
      <c r="T384" s="199" t="s"/>
      <c r="U384" s="199" t="s"/>
      <c r="V384" s="199" t="s"/>
      <c r="W384" s="199" t="s"/>
      <c r="X384" s="199" t="s"/>
      <c r="Y384" s="199" t="s"/>
      <c r="Z384" s="109" t="s"/>
      <c r="AA384" s="200" t="s"/>
      <c r="AB384" s="200" t="s"/>
      <c r="AC384" s="200" t="s"/>
      <c r="AD384" s="200" t="s"/>
      <c r="AE384" s="200" t="s"/>
      <c r="AF384" s="200" t="s"/>
      <c r="AG384" s="200" t="s"/>
      <c r="AH384" s="200" t="s"/>
      <c r="AI384" s="200" t="s"/>
      <c r="AJ384" s="200" t="s"/>
      <c r="AK384" s="200" t="s"/>
      <c r="AL384" s="200" t="s"/>
      <c r="AM384" s="200" t="s"/>
    </row>
    <row r="385" spans="1:39" s="431" customFormat="true">
      <c r="A385" s="97">
        <v>384</v>
      </c>
      <c r="B385" s="168" t="s">
        <v>193</v>
      </c>
      <c r="C385" s="162">
        <v>46112.6967824074</v>
      </c>
      <c r="D385" s="167">
        <v>12</v>
      </c>
      <c r="E385" s="120">
        <v>46113</v>
      </c>
      <c r="F385" s="168" t="s">
        <v>234</v>
      </c>
      <c r="G385" s="168" t="s">
        <v>1430</v>
      </c>
      <c r="H385" s="96" t="s">
        <v>606</v>
      </c>
      <c r="I385" s="166" t="s">
        <v>609</v>
      </c>
      <c r="J385" s="97" t="s">
        <f>=_xlfn.TEXTJOIN("+",TRUE,_xlfn._xlws.FILTER(_xlfn.TEXTSPLIT(H385,,"+"),(_xlfn.TEXTSPLIT(H385,,"+")&lt;&gt;"埃米工具")*(_xlfn.TEXTSPLIT(H385,,"+")&lt;&gt;"埃米广告通")))</f>
        <v>15</v>
      </c>
      <c r="K385" s="109">
        <f>=EDATE(C385,D385)</f>
        <v>46477</v>
      </c>
      <c r="L385" s="191">
        <v>46126</v>
      </c>
      <c r="M385" s="128" t="s">
        <v>610</v>
      </c>
      <c r="N385" s="96" t="s">
        <v>611</v>
      </c>
      <c r="O385" s="168" t="s"/>
      <c r="P385" s="168" t="s">
        <v>1431</v>
      </c>
      <c r="Q385" s="171" t="s"/>
      <c r="R385" s="199" t="s"/>
      <c r="S385" s="199" t="s"/>
      <c r="T385" s="199" t="s"/>
      <c r="U385" s="199" t="s"/>
      <c r="V385" s="199" t="s"/>
      <c r="W385" s="199" t="s"/>
      <c r="X385" s="199" t="s"/>
      <c r="Y385" s="199" t="s"/>
      <c r="Z385" s="109" t="s"/>
      <c r="AA385" s="200" t="s"/>
      <c r="AB385" s="200" t="s"/>
      <c r="AC385" s="200" t="s"/>
      <c r="AD385" s="200" t="s"/>
      <c r="AE385" s="200" t="s"/>
      <c r="AF385" s="200" t="s"/>
      <c r="AG385" s="200" t="s"/>
      <c r="AH385" s="200" t="s"/>
      <c r="AI385" s="200" t="s"/>
      <c r="AJ385" s="200" t="s"/>
      <c r="AK385" s="200" t="s"/>
      <c r="AL385" s="200" t="s"/>
      <c r="AM385" s="200" t="s"/>
    </row>
    <row r="386" spans="1:39" s="431" customFormat="true">
      <c r="A386" s="97">
        <v>385</v>
      </c>
      <c r="B386" s="168" t="s">
        <v>403</v>
      </c>
      <c r="C386" s="162">
        <v>46112.7609490741</v>
      </c>
      <c r="D386" s="167">
        <v>12</v>
      </c>
      <c r="E386" s="120">
        <v>46113</v>
      </c>
      <c r="F386" s="168" t="s">
        <v>224</v>
      </c>
      <c r="G386" s="168" t="s">
        <v>1432</v>
      </c>
      <c r="H386" s="96" t="s">
        <v>607</v>
      </c>
      <c r="I386" s="166" t="s">
        <v>609</v>
      </c>
      <c r="J386" s="97" t="s">
        <f>=_xlfn.TEXTJOIN("+",TRUE,_xlfn._xlws.FILTER(_xlfn.TEXTSPLIT(H386,,"+"),(_xlfn.TEXTSPLIT(H386,,"+")&lt;&gt;"埃米工具")*(_xlfn.TEXTSPLIT(H386,,"+")&lt;&gt;"埃米广告通")))</f>
        <v>607</v>
      </c>
      <c r="K386" s="109">
        <f>=EDATE(C386,D386)</f>
        <v>46477</v>
      </c>
      <c r="L386" s="168" t="s"/>
      <c r="M386" s="128" t="s"/>
      <c r="N386" s="96" t="s">
        <v>611</v>
      </c>
      <c r="O386" s="168" t="s">
        <v>1045</v>
      </c>
      <c r="P386" s="168" t="s"/>
      <c r="Q386" s="171" t="s"/>
      <c r="R386" s="199" t="s"/>
      <c r="S386" s="199" t="s"/>
      <c r="T386" s="199" t="s"/>
      <c r="U386" s="199" t="s"/>
      <c r="V386" s="199" t="s"/>
      <c r="W386" s="199" t="s"/>
      <c r="X386" s="199" t="s"/>
      <c r="Y386" s="199" t="s"/>
      <c r="Z386" s="200" t="s"/>
      <c r="AA386" s="200" t="s"/>
      <c r="AB386" s="200" t="s"/>
      <c r="AC386" s="200" t="s"/>
      <c r="AD386" s="200" t="s"/>
      <c r="AE386" s="200" t="s"/>
      <c r="AF386" s="200" t="s"/>
      <c r="AG386" s="200" t="s"/>
      <c r="AH386" s="200" t="s"/>
      <c r="AI386" s="200" t="s"/>
      <c r="AJ386" s="200" t="s"/>
      <c r="AK386" s="200" t="s"/>
      <c r="AL386" s="200" t="s"/>
      <c r="AM386" s="200" t="s"/>
    </row>
    <row r="387" spans="1:39" s="431" customFormat="true">
      <c r="A387" s="97">
        <v>386</v>
      </c>
      <c r="B387" s="168" t="s">
        <v>195</v>
      </c>
      <c r="C387" s="162">
        <v>46112.7493865741</v>
      </c>
      <c r="D387" s="167">
        <v>12</v>
      </c>
      <c r="E387" s="120">
        <v>46113</v>
      </c>
      <c r="F387" s="168" t="s">
        <v>224</v>
      </c>
      <c r="G387" s="168" t="s">
        <v>1433</v>
      </c>
      <c r="H387" s="96" t="s">
        <v>12</v>
      </c>
      <c r="I387" s="166" t="s">
        <v>646</v>
      </c>
      <c r="J387" s="97" t="s">
        <f>=_xlfn.TEXTJOIN("+",TRUE,_xlfn._xlws.FILTER(_xlfn.TEXTSPLIT(H387,,"+"),(_xlfn.TEXTSPLIT(H387,,"+")&lt;&gt;"埃米工具")*(_xlfn.TEXTSPLIT(H387,,"+")&lt;&gt;"埃米广告通")))</f>
        <v>12</v>
      </c>
      <c r="K387" s="109">
        <f>=EDATE(C387,D387)</f>
        <v>46477</v>
      </c>
      <c r="L387" s="168" t="s"/>
      <c r="M387" s="128" t="s"/>
      <c r="N387" s="96" t="s">
        <v>611</v>
      </c>
      <c r="O387" s="168" t="s"/>
      <c r="P387" s="168" t="s">
        <v>1434</v>
      </c>
      <c r="Q387" s="171" t="s">
        <v>791</v>
      </c>
      <c r="R387" s="199" t="s"/>
      <c r="S387" s="199" t="s"/>
      <c r="T387" s="199" t="s"/>
      <c r="U387" s="199" t="s"/>
      <c r="V387" s="199" t="s"/>
      <c r="W387" s="199" t="s"/>
      <c r="X387" s="199" t="s"/>
      <c r="Y387" s="199" t="s"/>
      <c r="Z387" s="109" t="s"/>
      <c r="AA387" s="200" t="s"/>
      <c r="AB387" s="200" t="s"/>
      <c r="AC387" s="200" t="s"/>
      <c r="AD387" s="200" t="s"/>
      <c r="AE387" s="200" t="s"/>
      <c r="AF387" s="200" t="s"/>
      <c r="AG387" s="200" t="s"/>
      <c r="AH387" s="200" t="s"/>
      <c r="AI387" s="200" t="s"/>
      <c r="AJ387" s="200" t="s"/>
      <c r="AK387" s="200" t="s"/>
      <c r="AL387" s="200" t="s"/>
      <c r="AM387" s="200" t="s"/>
    </row>
    <row r="388" spans="1:39" s="431" customFormat="true">
      <c r="A388" s="97">
        <v>387</v>
      </c>
      <c r="B388" s="168" t="s">
        <v>494</v>
      </c>
      <c r="C388" s="162">
        <v>46112.8056597222</v>
      </c>
      <c r="D388" s="167">
        <v>12</v>
      </c>
      <c r="E388" s="120">
        <v>46113</v>
      </c>
      <c r="F388" s="168" t="s">
        <v>234</v>
      </c>
      <c r="G388" s="168" t="s">
        <v>1435</v>
      </c>
      <c r="H388" s="96" t="s">
        <v>607</v>
      </c>
      <c r="I388" s="166" t="s">
        <v>609</v>
      </c>
      <c r="J388" s="97" t="s">
        <f>=_xlfn.TEXTJOIN("+",TRUE,_xlfn._xlws.FILTER(_xlfn.TEXTSPLIT(H388,,"+"),(_xlfn.TEXTSPLIT(H388,,"+")&lt;&gt;"埃米工具")*(_xlfn.TEXTSPLIT(H388,,"+")&lt;&gt;"埃米广告通")))</f>
        <v>607</v>
      </c>
      <c r="K388" s="109">
        <f>=EDATE(C388,D388)</f>
        <v>46477</v>
      </c>
      <c r="L388" s="168" t="s"/>
      <c r="M388" s="128" t="s"/>
      <c r="N388" s="168" t="s"/>
      <c r="O388" s="168" t="s"/>
      <c r="P388" s="168" t="s">
        <v>1436</v>
      </c>
      <c r="Q388" s="171" t="s"/>
      <c r="R388" s="199" t="s"/>
      <c r="S388" s="199" t="s"/>
      <c r="T388" s="199" t="s"/>
      <c r="U388" s="199" t="s"/>
      <c r="V388" s="199" t="s"/>
      <c r="W388" s="199" t="s"/>
      <c r="X388" s="199" t="s"/>
      <c r="Y388" s="199" t="s"/>
      <c r="Z388" s="109" t="s"/>
      <c r="AA388" s="200" t="s"/>
      <c r="AB388" s="200" t="s"/>
      <c r="AC388" s="200" t="s"/>
      <c r="AD388" s="200" t="s"/>
      <c r="AE388" s="200" t="s"/>
      <c r="AF388" s="200" t="s"/>
      <c r="AG388" s="200" t="s"/>
      <c r="AH388" s="200" t="s"/>
      <c r="AI388" s="200" t="s"/>
      <c r="AJ388" s="200" t="s"/>
      <c r="AK388" s="200" t="s"/>
      <c r="AL388" s="200" t="s"/>
      <c r="AM388" s="200" t="s"/>
    </row>
    <row r="389" spans="1:39" s="431" customFormat="true">
      <c r="A389" s="97">
        <v>388</v>
      </c>
      <c r="B389" s="168" t="s">
        <v>1437</v>
      </c>
      <c r="C389" s="162">
        <v>46112.8199652778</v>
      </c>
      <c r="D389" s="167">
        <v>12</v>
      </c>
      <c r="E389" s="120">
        <v>46113</v>
      </c>
      <c r="F389" s="168" t="s">
        <v>236</v>
      </c>
      <c r="G389" s="168" t="s">
        <v>1438</v>
      </c>
      <c r="H389" s="96" t="s">
        <v>607</v>
      </c>
      <c r="I389" s="166" t="s">
        <v>609</v>
      </c>
      <c r="J389" s="97" t="s">
        <f>=_xlfn.TEXTJOIN("+",TRUE,_xlfn._xlws.FILTER(_xlfn.TEXTSPLIT(H389,,"+"),(_xlfn.TEXTSPLIT(H389,,"+")&lt;&gt;"埃米工具")*(_xlfn.TEXTSPLIT(H389,,"+")&lt;&gt;"埃米广告通")))</f>
        <v>607</v>
      </c>
      <c r="K389" s="109">
        <f>=EDATE(C389,D389)</f>
        <v>46477</v>
      </c>
      <c r="L389" s="168" t="s"/>
      <c r="M389" s="128" t="s"/>
      <c r="N389" s="96" t="s">
        <v>611</v>
      </c>
      <c r="O389" s="168" t="s">
        <v>1322</v>
      </c>
      <c r="P389" s="168" t="s"/>
      <c r="Q389" s="171" t="s"/>
      <c r="R389" s="199" t="s"/>
      <c r="S389" s="199" t="s"/>
      <c r="T389" s="199" t="s"/>
      <c r="U389" s="199" t="s"/>
      <c r="V389" s="199" t="s"/>
      <c r="W389" s="199" t="s"/>
      <c r="X389" s="199" t="s"/>
      <c r="Y389" s="199" t="s"/>
      <c r="Z389" s="109" t="s"/>
      <c r="AA389" s="200" t="s"/>
      <c r="AB389" s="200" t="s"/>
      <c r="AC389" s="200" t="s"/>
      <c r="AD389" s="200" t="s"/>
      <c r="AE389" s="200" t="s"/>
      <c r="AF389" s="200" t="s"/>
      <c r="AG389" s="200" t="s"/>
      <c r="AH389" s="200" t="s"/>
      <c r="AI389" s="200" t="s"/>
      <c r="AJ389" s="200" t="s"/>
      <c r="AK389" s="200" t="s"/>
      <c r="AL389" s="200" t="s"/>
      <c r="AM389" s="200" t="s"/>
    </row>
    <row r="390" spans="1:39" s="431" customFormat="true">
      <c r="A390" s="97">
        <v>389</v>
      </c>
      <c r="B390" s="168" t="s">
        <v>196</v>
      </c>
      <c r="C390" s="162">
        <v>46112.7260532407</v>
      </c>
      <c r="D390" s="167">
        <v>12</v>
      </c>
      <c r="E390" s="120">
        <v>46113</v>
      </c>
      <c r="F390" s="168" t="s">
        <v>234</v>
      </c>
      <c r="G390" s="168" t="s">
        <v>1439</v>
      </c>
      <c r="H390" s="96" t="s">
        <v>12</v>
      </c>
      <c r="I390" s="166" t="s">
        <v>609</v>
      </c>
      <c r="J390" s="97" t="s">
        <f>=_xlfn.TEXTJOIN("+",TRUE,_xlfn._xlws.FILTER(_xlfn.TEXTSPLIT(H390,,"+"),(_xlfn.TEXTSPLIT(H390,,"+")&lt;&gt;"埃米工具")*(_xlfn.TEXTSPLIT(H390,,"+")&lt;&gt;"埃米广告通")))</f>
        <v>12</v>
      </c>
      <c r="K390" s="109">
        <f>=EDATE(C390,D390)</f>
        <v>46477</v>
      </c>
      <c r="L390" s="191">
        <v>46113</v>
      </c>
      <c r="M390" s="168" t="s">
        <v>1415</v>
      </c>
      <c r="N390" s="96" t="s">
        <v>611</v>
      </c>
      <c r="O390" s="168" t="s">
        <v>1333</v>
      </c>
      <c r="P390" s="168" t="s"/>
      <c r="Q390" s="171" t="s"/>
      <c r="R390" s="199" t="s"/>
      <c r="S390" s="199" t="s"/>
      <c r="T390" s="199" t="s"/>
      <c r="U390" s="199" t="s"/>
      <c r="V390" s="199" t="s"/>
      <c r="W390" s="199" t="s"/>
      <c r="X390" s="199" t="s"/>
      <c r="Y390" s="199" t="s"/>
      <c r="Z390" s="200" t="s"/>
      <c r="AA390" s="200" t="s"/>
      <c r="AB390" s="200" t="s"/>
      <c r="AC390" s="200" t="s"/>
      <c r="AD390" s="200" t="s"/>
      <c r="AE390" s="200" t="s"/>
      <c r="AF390" s="200" t="s"/>
      <c r="AG390" s="200" t="s"/>
      <c r="AH390" s="200" t="s"/>
      <c r="AI390" s="200" t="s"/>
      <c r="AJ390" s="200" t="s"/>
      <c r="AK390" s="200" t="s"/>
      <c r="AL390" s="200" t="s"/>
      <c r="AM390" s="200" t="s"/>
    </row>
    <row r="391" spans="1:39" s="431" customFormat="true">
      <c r="A391" s="97">
        <v>390</v>
      </c>
      <c r="B391" s="168" t="s">
        <v>1440</v>
      </c>
      <c r="C391" s="162">
        <v>46112.7435532408</v>
      </c>
      <c r="D391" s="167">
        <v>12</v>
      </c>
      <c r="E391" s="120">
        <v>46113</v>
      </c>
      <c r="F391" s="168" t="s">
        <v>215</v>
      </c>
      <c r="G391" s="168" t="s">
        <v>1441</v>
      </c>
      <c r="H391" s="96" t="s">
        <v>607</v>
      </c>
      <c r="I391" s="166" t="s">
        <v>609</v>
      </c>
      <c r="J391" s="97" t="s">
        <f>=_xlfn.TEXTJOIN("+",TRUE,_xlfn._xlws.FILTER(_xlfn.TEXTSPLIT(H391,,"+"),(_xlfn.TEXTSPLIT(H391,,"+")&lt;&gt;"埃米工具")*(_xlfn.TEXTSPLIT(H391,,"+")&lt;&gt;"埃米广告通")))</f>
        <v>607</v>
      </c>
      <c r="K391" s="109">
        <f>=EDATE(C391,D391)</f>
        <v>46477</v>
      </c>
      <c r="L391" s="168" t="s"/>
      <c r="M391" s="128" t="s"/>
      <c r="N391" s="96" t="s">
        <v>611</v>
      </c>
      <c r="O391" s="205" t="s"/>
      <c r="P391" s="168" t="s"/>
      <c r="Q391" s="171" t="s">
        <v>791</v>
      </c>
      <c r="R391" s="199" t="s"/>
      <c r="S391" s="199" t="s"/>
      <c r="T391" s="199" t="s"/>
      <c r="U391" s="199" t="s"/>
      <c r="V391" s="199" t="s"/>
      <c r="W391" s="199" t="s"/>
      <c r="X391" s="199" t="s"/>
      <c r="Y391" s="199" t="s"/>
      <c r="Z391" s="109" t="s"/>
      <c r="AA391" s="200" t="s"/>
      <c r="AB391" s="200" t="s"/>
      <c r="AC391" s="200" t="s"/>
      <c r="AD391" s="200" t="s"/>
      <c r="AE391" s="200" t="s"/>
      <c r="AF391" s="200" t="s"/>
      <c r="AG391" s="200" t="s"/>
      <c r="AH391" s="200" t="s"/>
      <c r="AI391" s="200" t="s"/>
      <c r="AJ391" s="200" t="s"/>
      <c r="AK391" s="200" t="s"/>
      <c r="AL391" s="200" t="s"/>
      <c r="AM391" s="200" t="s"/>
    </row>
    <row r="392" spans="1:39" s="431" customFormat="true">
      <c r="A392" s="97">
        <v>391</v>
      </c>
      <c r="B392" s="168" t="s">
        <v>197</v>
      </c>
      <c r="C392" s="162">
        <v>46112.7765277778</v>
      </c>
      <c r="D392" s="167">
        <v>12</v>
      </c>
      <c r="E392" s="120">
        <v>46113</v>
      </c>
      <c r="F392" s="168" t="s">
        <v>277</v>
      </c>
      <c r="G392" s="168" t="s">
        <v>1442</v>
      </c>
      <c r="H392" s="96" t="s">
        <v>12</v>
      </c>
      <c r="I392" s="166" t="s">
        <v>609</v>
      </c>
      <c r="J392" s="97" t="s">
        <f>=_xlfn.TEXTJOIN("+",TRUE,_xlfn._xlws.FILTER(_xlfn.TEXTSPLIT(H392,,"+"),(_xlfn.TEXTSPLIT(H392,,"+")&lt;&gt;"埃米工具")*(_xlfn.TEXTSPLIT(H392,,"+")&lt;&gt;"埃米广告通")))</f>
        <v>12</v>
      </c>
      <c r="K392" s="109">
        <f>=EDATE(C392,D392)</f>
        <v>46477</v>
      </c>
      <c r="L392" s="193">
        <v>46113</v>
      </c>
      <c r="M392" s="168" t="s">
        <v>1214</v>
      </c>
      <c r="N392" s="168" t="s"/>
      <c r="O392" s="168" t="s">
        <v>1296</v>
      </c>
      <c r="P392" s="168" t="s"/>
      <c r="Q392" s="171" t="s"/>
      <c r="R392" s="199" t="s"/>
      <c r="S392" s="199" t="s"/>
      <c r="T392" s="199" t="s">
        <v>277</v>
      </c>
      <c r="U392" s="199" t="s"/>
      <c r="V392" s="199" t="s"/>
      <c r="W392" s="199" t="s"/>
      <c r="X392" s="199" t="s"/>
      <c r="Y392" s="199" t="s"/>
      <c r="Z392" s="200" t="s"/>
      <c r="AA392" s="200" t="s"/>
      <c r="AB392" s="200" t="s"/>
      <c r="AC392" s="200" t="s"/>
      <c r="AD392" s="200" t="s"/>
      <c r="AE392" s="200" t="s"/>
      <c r="AF392" s="200" t="s"/>
      <c r="AG392" s="200" t="s"/>
      <c r="AH392" s="200" t="s"/>
      <c r="AI392" s="200" t="s"/>
      <c r="AJ392" s="200" t="s"/>
      <c r="AK392" s="200" t="s"/>
      <c r="AL392" s="200" t="s"/>
      <c r="AM392" s="200" t="s"/>
    </row>
    <row r="393" spans="1:39" s="431" customFormat="true">
      <c r="A393" s="97">
        <v>392</v>
      </c>
      <c r="B393" s="166" t="s">
        <v>426</v>
      </c>
      <c r="C393" s="162">
        <v>46113.6098032407</v>
      </c>
      <c r="D393" s="167">
        <v>12</v>
      </c>
      <c r="E393" s="120">
        <v>46113</v>
      </c>
      <c r="F393" s="168" t="s">
        <v>277</v>
      </c>
      <c r="G393" s="168" t="s">
        <v>1443</v>
      </c>
      <c r="H393" s="96" t="s">
        <v>607</v>
      </c>
      <c r="I393" s="166" t="s">
        <v>609</v>
      </c>
      <c r="J393" s="97" t="s">
        <f>=_xlfn.TEXTJOIN("+",TRUE,_xlfn._xlws.FILTER(_xlfn.TEXTSPLIT(H393,,"+"),(_xlfn.TEXTSPLIT(H393,,"+")&lt;&gt;"埃米工具")*(_xlfn.TEXTSPLIT(H393,,"+")&lt;&gt;"埃米广告通")))</f>
        <v>607</v>
      </c>
      <c r="K393" s="109">
        <f>=EDATE(C393,D393)</f>
        <v>46478</v>
      </c>
      <c r="L393" s="168" t="s">
        <v>1387</v>
      </c>
      <c r="M393" s="168" t="s">
        <v>1387</v>
      </c>
      <c r="N393" s="168" t="s"/>
      <c r="O393" s="168" t="s">
        <v>1296</v>
      </c>
      <c r="P393" s="168" t="s"/>
      <c r="Q393" s="171" t="s"/>
      <c r="R393" s="199" t="s"/>
      <c r="S393" s="199" t="s"/>
      <c r="T393" s="199" t="s">
        <v>277</v>
      </c>
      <c r="U393" s="199" t="s"/>
      <c r="V393" s="199" t="s"/>
      <c r="W393" s="199" t="s"/>
      <c r="X393" s="199" t="s"/>
      <c r="Y393" s="199" t="s"/>
      <c r="Z393" s="200" t="s"/>
      <c r="AA393" s="200" t="s"/>
      <c r="AB393" s="200" t="s"/>
      <c r="AC393" s="200" t="s"/>
      <c r="AD393" s="200" t="s"/>
      <c r="AE393" s="200" t="s"/>
      <c r="AF393" s="200" t="s"/>
      <c r="AG393" s="200" t="s"/>
      <c r="AH393" s="200" t="s"/>
      <c r="AI393" s="200" t="s"/>
      <c r="AJ393" s="200" t="s"/>
      <c r="AK393" s="200" t="s"/>
      <c r="AL393" s="200" t="s"/>
      <c r="AM393" s="200" t="s"/>
    </row>
    <row r="394" spans="1:39" s="431" customFormat="true">
      <c r="A394" s="97">
        <v>393</v>
      </c>
      <c r="B394" s="166" t="s">
        <v>1444</v>
      </c>
      <c r="C394" s="162">
        <v>46113.7798263889</v>
      </c>
      <c r="D394" s="167">
        <v>12</v>
      </c>
      <c r="E394" s="120">
        <v>46114</v>
      </c>
      <c r="F394" s="168" t="s">
        <v>277</v>
      </c>
      <c r="G394" s="168" t="s">
        <v>1445</v>
      </c>
      <c r="H394" s="96" t="s">
        <v>607</v>
      </c>
      <c r="I394" s="166" t="s">
        <v>609</v>
      </c>
      <c r="J394" s="97" t="s">
        <f>=_xlfn.TEXTJOIN("+",TRUE,_xlfn._xlws.FILTER(_xlfn.TEXTSPLIT(H394,,"+"),(_xlfn.TEXTSPLIT(H394,,"+")&lt;&gt;"埃米工具")*(_xlfn.TEXTSPLIT(H394,,"+")&lt;&gt;"埃米广告通")))</f>
        <v>607</v>
      </c>
      <c r="K394" s="109">
        <f>=EDATE(C394,D394)</f>
        <v>46478</v>
      </c>
      <c r="L394" s="168" t="s">
        <v>1387</v>
      </c>
      <c r="M394" s="168" t="s">
        <v>1387</v>
      </c>
      <c r="N394" s="168" t="s"/>
      <c r="O394" s="168" t="s"/>
      <c r="P394" s="168" t="s"/>
      <c r="Q394" s="171" t="s"/>
      <c r="R394" s="199" t="s"/>
      <c r="S394" s="199" t="s"/>
      <c r="T394" s="199" t="s">
        <v>277</v>
      </c>
      <c r="U394" s="199" t="s"/>
      <c r="V394" s="199" t="s"/>
      <c r="W394" s="199" t="s"/>
      <c r="X394" s="199" t="s"/>
      <c r="Y394" s="199" t="s"/>
      <c r="Z394" s="109" t="s"/>
      <c r="AA394" s="200" t="s"/>
      <c r="AB394" s="200" t="s"/>
      <c r="AC394" s="200" t="s"/>
      <c r="AD394" s="200" t="s"/>
      <c r="AE394" s="200" t="s"/>
      <c r="AF394" s="200" t="s"/>
      <c r="AG394" s="200" t="s"/>
      <c r="AH394" s="200" t="s"/>
      <c r="AI394" s="200" t="s"/>
      <c r="AJ394" s="200" t="s"/>
      <c r="AK394" s="200" t="s"/>
      <c r="AL394" s="200" t="s"/>
      <c r="AM394" s="200" t="s"/>
    </row>
    <row r="395" spans="1:39" s="431" customFormat="true">
      <c r="A395" s="97">
        <v>394</v>
      </c>
      <c r="B395" s="179" t="s">
        <v>1446</v>
      </c>
      <c r="C395" s="162">
        <v>46113.743125</v>
      </c>
      <c r="D395" s="167">
        <v>12</v>
      </c>
      <c r="E395" s="120">
        <v>46114</v>
      </c>
      <c r="F395" s="168" t="s">
        <v>277</v>
      </c>
      <c r="G395" s="168" t="s">
        <v>1447</v>
      </c>
      <c r="H395" s="96" t="s">
        <v>607</v>
      </c>
      <c r="I395" s="166" t="s">
        <v>609</v>
      </c>
      <c r="J395" s="97" t="s">
        <f>=_xlfn.TEXTJOIN("+",TRUE,_xlfn._xlws.FILTER(_xlfn.TEXTSPLIT(H395,,"+"),(_xlfn.TEXTSPLIT(H395,,"+")&lt;&gt;"埃米工具")*(_xlfn.TEXTSPLIT(H395,,"+")&lt;&gt;"埃米广告通")))</f>
        <v>607</v>
      </c>
      <c r="K395" s="109">
        <f>=EDATE(C395,D395)</f>
        <v>46478</v>
      </c>
      <c r="L395" s="168" t="s">
        <v>1387</v>
      </c>
      <c r="M395" s="168" t="s">
        <v>1387</v>
      </c>
      <c r="N395" s="168" t="s"/>
      <c r="O395" s="168" t="s">
        <v>1448</v>
      </c>
      <c r="P395" s="168" t="s"/>
      <c r="Q395" s="171" t="s"/>
      <c r="R395" s="199" t="s"/>
      <c r="S395" s="199" t="s"/>
      <c r="T395" s="199" t="s">
        <v>277</v>
      </c>
      <c r="U395" s="199" t="s"/>
      <c r="V395" s="199" t="s"/>
      <c r="W395" s="199" t="s"/>
      <c r="X395" s="199" t="s"/>
      <c r="Y395" s="199" t="s"/>
      <c r="Z395" s="109" t="s"/>
      <c r="AA395" s="200" t="s"/>
      <c r="AB395" s="200" t="s"/>
      <c r="AC395" s="200" t="s"/>
      <c r="AD395" s="200" t="s"/>
      <c r="AE395" s="200" t="s"/>
      <c r="AF395" s="200" t="s"/>
      <c r="AG395" s="200" t="s"/>
      <c r="AH395" s="200" t="s"/>
      <c r="AI395" s="200" t="s"/>
      <c r="AJ395" s="200" t="s"/>
      <c r="AK395" s="200" t="s"/>
      <c r="AL395" s="200" t="s"/>
      <c r="AM395" s="200" t="s"/>
    </row>
    <row r="396" spans="1:39" s="431" customFormat="true">
      <c r="A396" s="97">
        <v>395</v>
      </c>
      <c r="B396" s="168" t="s">
        <v>198</v>
      </c>
      <c r="C396" s="162">
        <v>46114.5221527778</v>
      </c>
      <c r="D396" s="167">
        <v>12</v>
      </c>
      <c r="E396" s="120">
        <v>46114</v>
      </c>
      <c r="F396" s="168" t="s">
        <v>224</v>
      </c>
      <c r="G396" s="168" t="s">
        <v>1449</v>
      </c>
      <c r="H396" s="96" t="s">
        <v>606</v>
      </c>
      <c r="I396" s="166" t="s">
        <v>609</v>
      </c>
      <c r="J396" s="97" t="s">
        <f>=_xlfn.TEXTJOIN("+",TRUE,_xlfn._xlws.FILTER(_xlfn.TEXTSPLIT(H396,,"+"),(_xlfn.TEXTSPLIT(H396,,"+")&lt;&gt;"埃米工具")*(_xlfn.TEXTSPLIT(H396,,"+")&lt;&gt;"埃米广告通")))</f>
        <v>15</v>
      </c>
      <c r="K396" s="109">
        <f>=EDATE(C396,D396)</f>
        <v>46479</v>
      </c>
      <c r="L396" s="212">
        <v>46125</v>
      </c>
      <c r="M396" s="128" t="s">
        <v>1154</v>
      </c>
      <c r="N396" s="96" t="s">
        <v>611</v>
      </c>
      <c r="O396" s="168" t="s"/>
      <c r="P396" s="168" t="s"/>
      <c r="Q396" s="171" t="s"/>
      <c r="R396" s="199" t="s"/>
      <c r="S396" s="199" t="s"/>
      <c r="T396" s="199" t="s"/>
      <c r="U396" s="199" t="s"/>
      <c r="V396" s="199" t="s"/>
      <c r="W396" s="199" t="s"/>
      <c r="X396" s="199" t="s"/>
      <c r="Y396" s="199" t="s"/>
      <c r="Z396" s="109" t="s"/>
      <c r="AA396" s="200" t="s"/>
      <c r="AB396" s="200" t="s"/>
      <c r="AC396" s="200" t="s"/>
      <c r="AD396" s="200" t="s"/>
      <c r="AE396" s="200" t="s"/>
      <c r="AF396" s="200" t="s"/>
      <c r="AG396" s="200" t="s"/>
      <c r="AH396" s="200" t="s"/>
      <c r="AI396" s="200" t="s"/>
      <c r="AJ396" s="200" t="s"/>
      <c r="AK396" s="200" t="s"/>
      <c r="AL396" s="200" t="s"/>
      <c r="AM396" s="200" t="s"/>
    </row>
    <row r="397" spans="1:39" s="431" customFormat="true">
      <c r="A397" s="97">
        <v>396</v>
      </c>
      <c r="B397" s="168" t="s">
        <v>199</v>
      </c>
      <c r="C397" s="162">
        <v>46114.4694444444</v>
      </c>
      <c r="D397" s="167">
        <v>12</v>
      </c>
      <c r="E397" s="120">
        <v>46114</v>
      </c>
      <c r="F397" s="168" t="s">
        <v>228</v>
      </c>
      <c r="G397" s="168" t="s">
        <v>1450</v>
      </c>
      <c r="H397" s="96" t="s">
        <v>606</v>
      </c>
      <c r="I397" s="166" t="s">
        <v>609</v>
      </c>
      <c r="J397" s="97" t="s">
        <f>=_xlfn.TEXTJOIN("+",TRUE,_xlfn._xlws.FILTER(_xlfn.TEXTSPLIT(H397,,"+"),(_xlfn.TEXTSPLIT(H397,,"+")&lt;&gt;"埃米工具")*(_xlfn.TEXTSPLIT(H397,,"+")&lt;&gt;"埃米广告通")))</f>
        <v>15</v>
      </c>
      <c r="K397" s="109">
        <f>=EDATE(C397,D397)</f>
        <v>46479</v>
      </c>
      <c r="L397" s="191">
        <v>46115</v>
      </c>
      <c r="M397" s="175" t="s">
        <v>953</v>
      </c>
      <c r="N397" s="96" t="s">
        <v>611</v>
      </c>
      <c r="O397" s="168" t="s"/>
      <c r="P397" s="168" t="s"/>
      <c r="Q397" s="171" t="s"/>
      <c r="R397" s="199" t="s"/>
      <c r="S397" s="199" t="s"/>
      <c r="T397" s="199" t="s"/>
      <c r="U397" s="199" t="s"/>
      <c r="V397" s="199" t="s"/>
      <c r="W397" s="199" t="s"/>
      <c r="X397" s="199" t="s"/>
      <c r="Y397" s="199" t="s"/>
      <c r="Z397" s="109" t="s"/>
      <c r="AA397" s="200" t="s"/>
      <c r="AB397" s="200" t="s"/>
      <c r="AC397" s="200" t="s"/>
      <c r="AD397" s="200" t="s"/>
      <c r="AE397" s="200" t="s"/>
      <c r="AF397" s="200" t="s"/>
      <c r="AG397" s="200" t="s"/>
      <c r="AH397" s="200" t="s"/>
      <c r="AI397" s="200" t="s"/>
      <c r="AJ397" s="200" t="s"/>
      <c r="AK397" s="200" t="s"/>
      <c r="AL397" s="200" t="s"/>
      <c r="AM397" s="200" t="s"/>
    </row>
    <row r="398" spans="1:39" s="431" customFormat="true">
      <c r="A398" s="97">
        <v>397</v>
      </c>
      <c r="B398" s="168" t="s">
        <v>1451</v>
      </c>
      <c r="C398" s="162">
        <v>46114.4769560185</v>
      </c>
      <c r="D398" s="167">
        <v>12</v>
      </c>
      <c r="E398" s="120">
        <v>46114</v>
      </c>
      <c r="F398" s="168" t="s">
        <v>277</v>
      </c>
      <c r="G398" s="168" t="s">
        <v>1452</v>
      </c>
      <c r="H398" s="96" t="s">
        <v>607</v>
      </c>
      <c r="I398" s="166" t="s">
        <v>646</v>
      </c>
      <c r="J398" s="97" t="s">
        <f>=_xlfn.TEXTJOIN("+",TRUE,_xlfn._xlws.FILTER(_xlfn.TEXTSPLIT(H398,,"+"),(_xlfn.TEXTSPLIT(H398,,"+")&lt;&gt;"埃米工具")*(_xlfn.TEXTSPLIT(H398,,"+")&lt;&gt;"埃米广告通")))</f>
        <v>607</v>
      </c>
      <c r="K398" s="109">
        <f>=EDATE(C398,D398)</f>
        <v>46479</v>
      </c>
      <c r="L398" s="168" t="s">
        <v>1387</v>
      </c>
      <c r="M398" s="168" t="s">
        <v>1387</v>
      </c>
      <c r="N398" s="168" t="s"/>
      <c r="O398" s="168" t="s"/>
      <c r="P398" s="168" t="s"/>
      <c r="Q398" s="171" t="s"/>
      <c r="R398" s="199" t="s"/>
      <c r="S398" s="199" t="s"/>
      <c r="T398" s="199" t="s">
        <v>277</v>
      </c>
      <c r="U398" s="199" t="s"/>
      <c r="V398" s="199" t="s"/>
      <c r="W398" s="199" t="s"/>
      <c r="X398" s="199" t="s"/>
      <c r="Y398" s="199" t="s"/>
      <c r="Z398" s="109" t="s"/>
      <c r="AA398" s="200" t="s"/>
      <c r="AB398" s="200" t="s"/>
      <c r="AC398" s="200" t="s"/>
      <c r="AD398" s="200" t="s"/>
      <c r="AE398" s="200" t="s"/>
      <c r="AF398" s="200" t="s"/>
      <c r="AG398" s="200" t="s"/>
      <c r="AH398" s="200" t="s"/>
      <c r="AI398" s="200" t="s"/>
      <c r="AJ398" s="200" t="s"/>
      <c r="AK398" s="200" t="s"/>
      <c r="AL398" s="200" t="s"/>
      <c r="AM398" s="200" t="s"/>
    </row>
    <row r="399" spans="1:39" s="431" customFormat="true">
      <c r="A399" s="97">
        <v>398</v>
      </c>
      <c r="B399" s="179" t="s">
        <v>200</v>
      </c>
      <c r="C399" s="162">
        <v>46114.5890972222</v>
      </c>
      <c r="D399" s="167">
        <v>12</v>
      </c>
      <c r="E399" s="120">
        <v>46114</v>
      </c>
      <c r="F399" s="168" t="s">
        <v>236</v>
      </c>
      <c r="G399" s="168" t="s">
        <v>1453</v>
      </c>
      <c r="H399" s="96" t="s">
        <v>12</v>
      </c>
      <c r="I399" s="166" t="s">
        <v>609</v>
      </c>
      <c r="J399" s="97" t="s">
        <f>=_xlfn.TEXTJOIN("+",TRUE,_xlfn._xlws.FILTER(_xlfn.TEXTSPLIT(H399,,"+"),(_xlfn.TEXTSPLIT(H399,,"+")&lt;&gt;"埃米工具")*(_xlfn.TEXTSPLIT(H399,,"+")&lt;&gt;"埃米广告通")))</f>
        <v>12</v>
      </c>
      <c r="K399" s="109">
        <f>=EDATE(C399,D399)</f>
        <v>46479</v>
      </c>
      <c r="L399" s="191">
        <v>46120</v>
      </c>
      <c r="M399" s="128" t="s">
        <v>610</v>
      </c>
      <c r="N399" s="96" t="s">
        <v>611</v>
      </c>
      <c r="O399" s="168" t="s">
        <v>1322</v>
      </c>
      <c r="P399" s="168" t="s"/>
      <c r="Q399" s="171" t="s"/>
      <c r="R399" s="199" t="s"/>
      <c r="S399" s="199" t="s"/>
      <c r="T399" s="199" t="s"/>
      <c r="U399" s="199" t="s"/>
      <c r="V399" s="199" t="s"/>
      <c r="W399" s="199" t="s"/>
      <c r="X399" s="199" t="s"/>
      <c r="Y399" s="199" t="s"/>
      <c r="Z399" s="109" t="s"/>
      <c r="AA399" s="200" t="s"/>
      <c r="AB399" s="200" t="s"/>
      <c r="AC399" s="200" t="s"/>
      <c r="AD399" s="200" t="s"/>
      <c r="AE399" s="200" t="s"/>
      <c r="AF399" s="200" t="s"/>
      <c r="AG399" s="200" t="s"/>
      <c r="AH399" s="200" t="s"/>
      <c r="AI399" s="200" t="s"/>
      <c r="AJ399" s="200" t="s"/>
      <c r="AK399" s="200" t="s"/>
      <c r="AL399" s="200" t="s"/>
      <c r="AM399" s="200" t="s"/>
    </row>
    <row r="400" spans="1:39" s="431" customFormat="true">
      <c r="A400" s="97">
        <v>399</v>
      </c>
      <c r="B400" s="39" t="s">
        <v>1454</v>
      </c>
      <c r="C400" s="173">
        <v>46114.6967592593</v>
      </c>
      <c r="D400" s="167">
        <v>12</v>
      </c>
      <c r="E400" s="120">
        <v>46114</v>
      </c>
      <c r="F400" s="168" t="s">
        <v>277</v>
      </c>
      <c r="G400" s="39" t="s">
        <v>1455</v>
      </c>
      <c r="H400" s="96" t="s">
        <v>607</v>
      </c>
      <c r="I400" s="166" t="s">
        <v>609</v>
      </c>
      <c r="J400" s="97" t="s">
        <f>=_xlfn.TEXTJOIN("+",TRUE,_xlfn._xlws.FILTER(_xlfn.TEXTSPLIT(H400,,"+"),(_xlfn.TEXTSPLIT(H400,,"+")&lt;&gt;"埃米工具")*(_xlfn.TEXTSPLIT(H400,,"+")&lt;&gt;"埃米广告通")))</f>
        <v>607</v>
      </c>
      <c r="K400" s="109">
        <f>=EDATE(C400,D400)</f>
        <v>46479</v>
      </c>
      <c r="L400" s="168" t="s">
        <v>1387</v>
      </c>
      <c r="M400" s="168" t="s">
        <v>1387</v>
      </c>
      <c r="N400" s="168" t="s"/>
      <c r="O400" s="168" t="s"/>
      <c r="P400" s="168" t="s"/>
      <c r="Q400" s="171" t="s">
        <v>791</v>
      </c>
      <c r="R400" s="199" t="s"/>
      <c r="S400" s="199" t="s"/>
      <c r="T400" s="199" t="s"/>
      <c r="U400" s="199" t="s"/>
      <c r="V400" s="199" t="s"/>
      <c r="W400" s="199" t="s"/>
      <c r="X400" s="199" t="s"/>
      <c r="Y400" s="199" t="s"/>
      <c r="Z400" s="109" t="s"/>
      <c r="AA400" s="200" t="s"/>
      <c r="AB400" s="200" t="s"/>
      <c r="AC400" s="200" t="s"/>
      <c r="AD400" s="200" t="s"/>
      <c r="AE400" s="200" t="s"/>
      <c r="AF400" s="200" t="s"/>
      <c r="AG400" s="200" t="s"/>
      <c r="AH400" s="200" t="s"/>
      <c r="AI400" s="200" t="s"/>
      <c r="AJ400" s="200" t="s"/>
      <c r="AK400" s="200" t="s"/>
      <c r="AL400" s="200" t="s"/>
      <c r="AM400" s="200" t="s"/>
    </row>
    <row r="401" spans="1:39" s="431" customFormat="true">
      <c r="A401" s="97">
        <v>400</v>
      </c>
      <c r="B401" s="39" t="s">
        <v>1456</v>
      </c>
      <c r="C401" s="173">
        <v>46114.6982291667</v>
      </c>
      <c r="D401" s="167">
        <v>12</v>
      </c>
      <c r="E401" s="120">
        <v>46114</v>
      </c>
      <c r="F401" s="152" t="s">
        <v>277</v>
      </c>
      <c r="G401" s="39" t="s">
        <v>1457</v>
      </c>
      <c r="H401" s="96" t="s">
        <v>607</v>
      </c>
      <c r="I401" s="166" t="s">
        <v>609</v>
      </c>
      <c r="J401" s="97" t="s">
        <f>=_xlfn.TEXTJOIN("+",TRUE,_xlfn._xlws.FILTER(_xlfn.TEXTSPLIT(H401,,"+"),(_xlfn.TEXTSPLIT(H401,,"+")&lt;&gt;"埃米工具")*(_xlfn.TEXTSPLIT(H401,,"+")&lt;&gt;"埃米广告通")))</f>
        <v>607</v>
      </c>
      <c r="K401" s="109">
        <f>=EDATE(C401,D401)</f>
        <v>46479</v>
      </c>
      <c r="L401" s="168" t="s">
        <v>1387</v>
      </c>
      <c r="M401" s="168" t="s">
        <v>1387</v>
      </c>
      <c r="N401" s="168" t="s"/>
      <c r="O401" s="168" t="s"/>
      <c r="P401" s="168" t="s"/>
      <c r="Q401" s="171" t="s">
        <v>791</v>
      </c>
      <c r="R401" s="199" t="s"/>
      <c r="S401" s="199" t="s"/>
      <c r="T401" s="199" t="s"/>
      <c r="U401" s="199" t="s"/>
      <c r="V401" s="199" t="s"/>
      <c r="W401" s="199" t="s"/>
      <c r="X401" s="199" t="s"/>
      <c r="Y401" s="199" t="s"/>
      <c r="Z401" s="109" t="s"/>
      <c r="AA401" s="200" t="s"/>
      <c r="AB401" s="200" t="s"/>
      <c r="AC401" s="200" t="s"/>
      <c r="AD401" s="200" t="s"/>
      <c r="AE401" s="200" t="s"/>
      <c r="AF401" s="200" t="s"/>
      <c r="AG401" s="200" t="s"/>
      <c r="AH401" s="200" t="s"/>
      <c r="AI401" s="200" t="s"/>
      <c r="AJ401" s="200" t="s"/>
      <c r="AK401" s="200" t="s"/>
      <c r="AL401" s="200" t="s"/>
      <c r="AM401" s="200" t="s"/>
    </row>
    <row r="402" spans="1:39" s="431" customFormat="true">
      <c r="A402" s="97">
        <v>401</v>
      </c>
      <c r="B402" s="39" t="s">
        <v>1458</v>
      </c>
      <c r="C402" s="173">
        <v>46114.7006828704</v>
      </c>
      <c r="D402" s="167">
        <v>12</v>
      </c>
      <c r="E402" s="120">
        <v>46114</v>
      </c>
      <c r="F402" s="168" t="s">
        <v>277</v>
      </c>
      <c r="G402" s="39" t="s">
        <v>1459</v>
      </c>
      <c r="H402" s="96" t="s">
        <v>607</v>
      </c>
      <c r="I402" s="166" t="s">
        <v>609</v>
      </c>
      <c r="J402" s="97" t="s">
        <f>=_xlfn.TEXTJOIN("+",TRUE,_xlfn._xlws.FILTER(_xlfn.TEXTSPLIT(H402,,"+"),(_xlfn.TEXTSPLIT(H402,,"+")&lt;&gt;"埃米工具")*(_xlfn.TEXTSPLIT(H402,,"+")&lt;&gt;"埃米广告通")))</f>
        <v>607</v>
      </c>
      <c r="K402" s="109">
        <f>=EDATE(C402,D402)</f>
        <v>46479</v>
      </c>
      <c r="L402" s="168" t="s">
        <v>1387</v>
      </c>
      <c r="M402" s="168" t="s">
        <v>1387</v>
      </c>
      <c r="N402" s="168" t="s"/>
      <c r="O402" s="168" t="s"/>
      <c r="P402" s="168" t="s"/>
      <c r="Q402" s="171" t="s"/>
      <c r="R402" s="199" t="s"/>
      <c r="S402" s="199" t="s"/>
      <c r="T402" s="199" t="s"/>
      <c r="U402" s="199" t="s"/>
      <c r="V402" s="199" t="s"/>
      <c r="W402" s="199" t="s"/>
      <c r="X402" s="199" t="s"/>
      <c r="Y402" s="199" t="s"/>
      <c r="Z402" s="109" t="s"/>
      <c r="AA402" s="200" t="s"/>
      <c r="AB402" s="200" t="s"/>
      <c r="AC402" s="200" t="s"/>
      <c r="AD402" s="200" t="s"/>
      <c r="AE402" s="200" t="s"/>
      <c r="AF402" s="200" t="s"/>
      <c r="AG402" s="200" t="s"/>
      <c r="AH402" s="200" t="s"/>
      <c r="AI402" s="200" t="s"/>
      <c r="AJ402" s="200" t="s"/>
      <c r="AK402" s="200" t="s"/>
      <c r="AL402" s="200" t="s"/>
      <c r="AM402" s="200" t="s"/>
    </row>
    <row r="403" spans="1:39" s="431" customFormat="true">
      <c r="A403" s="97">
        <v>402</v>
      </c>
      <c r="B403" s="39" t="s">
        <v>1460</v>
      </c>
      <c r="C403" s="173">
        <v>46114.6873611111</v>
      </c>
      <c r="D403" s="167">
        <v>12</v>
      </c>
      <c r="E403" s="120">
        <v>46114</v>
      </c>
      <c r="F403" s="168" t="s">
        <v>277</v>
      </c>
      <c r="G403" s="39" t="s">
        <v>1461</v>
      </c>
      <c r="H403" s="96" t="s">
        <v>607</v>
      </c>
      <c r="I403" s="166" t="s">
        <v>609</v>
      </c>
      <c r="J403" s="97" t="s">
        <f>=_xlfn.TEXTJOIN("+",TRUE,_xlfn._xlws.FILTER(_xlfn.TEXTSPLIT(H403,,"+"),(_xlfn.TEXTSPLIT(H403,,"+")&lt;&gt;"埃米工具")*(_xlfn.TEXTSPLIT(H403,,"+")&lt;&gt;"埃米广告通")))</f>
        <v>607</v>
      </c>
      <c r="K403" s="109">
        <f>=EDATE(C403,D403)</f>
        <v>46479</v>
      </c>
      <c r="L403" s="168" t="s">
        <v>1387</v>
      </c>
      <c r="M403" s="168" t="s">
        <v>1387</v>
      </c>
      <c r="N403" s="168" t="s"/>
      <c r="O403" s="168" t="s"/>
      <c r="P403" s="168" t="s"/>
      <c r="Q403" s="171" t="s"/>
      <c r="R403" s="199" t="s"/>
      <c r="S403" s="199" t="s"/>
      <c r="T403" s="199" t="s"/>
      <c r="U403" s="199" t="s"/>
      <c r="V403" s="199" t="s"/>
      <c r="W403" s="199" t="s"/>
      <c r="X403" s="199" t="s"/>
      <c r="Y403" s="199" t="s"/>
      <c r="Z403" s="109" t="s"/>
      <c r="AA403" s="200" t="s"/>
      <c r="AB403" s="200" t="s"/>
      <c r="AC403" s="200" t="s"/>
      <c r="AD403" s="200" t="s"/>
      <c r="AE403" s="200" t="s"/>
      <c r="AF403" s="200" t="s"/>
      <c r="AG403" s="200" t="s"/>
      <c r="AH403" s="200" t="s"/>
      <c r="AI403" s="200" t="s"/>
      <c r="AJ403" s="200" t="s"/>
      <c r="AK403" s="200" t="s"/>
      <c r="AL403" s="200" t="s"/>
      <c r="AM403" s="200" t="s"/>
    </row>
    <row r="404" spans="1:39" s="431" customFormat="true">
      <c r="A404" s="97">
        <v>403</v>
      </c>
      <c r="B404" s="39" t="s">
        <v>1462</v>
      </c>
      <c r="C404" s="173">
        <v>46114.6627777778</v>
      </c>
      <c r="D404" s="167">
        <v>12</v>
      </c>
      <c r="E404" s="120">
        <v>46114</v>
      </c>
      <c r="F404" s="168" t="s">
        <v>228</v>
      </c>
      <c r="G404" s="39" t="s">
        <v>1463</v>
      </c>
      <c r="H404" s="96" t="s">
        <v>607</v>
      </c>
      <c r="I404" s="166" t="s">
        <v>609</v>
      </c>
      <c r="J404" s="97" t="s">
        <f>=_xlfn.TEXTJOIN("+",TRUE,_xlfn._xlws.FILTER(_xlfn.TEXTSPLIT(H404,,"+"),(_xlfn.TEXTSPLIT(H404,,"+")&lt;&gt;"埃米工具")*(_xlfn.TEXTSPLIT(H404,,"+")&lt;&gt;"埃米广告通")))</f>
        <v>607</v>
      </c>
      <c r="K404" s="109">
        <f>=EDATE(C404,D404)</f>
        <v>46479</v>
      </c>
      <c r="L404" s="168" t="s"/>
      <c r="M404" s="128" t="s"/>
      <c r="N404" s="96" t="s">
        <v>611</v>
      </c>
      <c r="O404" s="168" t="s">
        <v>1464</v>
      </c>
      <c r="P404" s="168" t="s"/>
      <c r="Q404" s="171" t="s"/>
      <c r="R404" s="199" t="s"/>
      <c r="S404" s="199" t="s"/>
      <c r="T404" s="199" t="s"/>
      <c r="U404" s="199" t="s"/>
      <c r="V404" s="199" t="s"/>
      <c r="W404" s="199" t="s"/>
      <c r="X404" s="199" t="s"/>
      <c r="Y404" s="199" t="s"/>
      <c r="Z404" s="200" t="s"/>
      <c r="AA404" s="200" t="s"/>
      <c r="AB404" s="200" t="s"/>
      <c r="AC404" s="200" t="s"/>
      <c r="AD404" s="200" t="s"/>
      <c r="AE404" s="200" t="s"/>
      <c r="AF404" s="200" t="s"/>
      <c r="AG404" s="200" t="s"/>
      <c r="AH404" s="200" t="s"/>
      <c r="AI404" s="200" t="s"/>
      <c r="AJ404" s="200" t="s"/>
      <c r="AK404" s="200" t="s"/>
      <c r="AL404" s="200" t="s"/>
      <c r="AM404" s="200" t="s"/>
    </row>
    <row r="405" spans="1:39" s="431" customFormat="true">
      <c r="A405" s="97">
        <v>404</v>
      </c>
      <c r="B405" s="39" t="s">
        <v>450</v>
      </c>
      <c r="C405" s="173">
        <v>46114.6279398148</v>
      </c>
      <c r="D405" s="167">
        <v>12</v>
      </c>
      <c r="E405" s="120">
        <v>46114</v>
      </c>
      <c r="F405" s="168" t="s">
        <v>228</v>
      </c>
      <c r="G405" s="39" t="s">
        <v>1465</v>
      </c>
      <c r="H405" s="96" t="s">
        <v>607</v>
      </c>
      <c r="I405" s="166" t="s">
        <v>609</v>
      </c>
      <c r="J405" s="97" t="s">
        <f>=_xlfn.TEXTJOIN("+",TRUE,_xlfn._xlws.FILTER(_xlfn.TEXTSPLIT(H405,,"+"),(_xlfn.TEXTSPLIT(H405,,"+")&lt;&gt;"埃米工具")*(_xlfn.TEXTSPLIT(H405,,"+")&lt;&gt;"埃米广告通")))</f>
        <v>607</v>
      </c>
      <c r="K405" s="109">
        <f>=EDATE(C405,D405)</f>
        <v>46479</v>
      </c>
      <c r="L405" s="168" t="s"/>
      <c r="M405" s="128" t="s"/>
      <c r="N405" s="96" t="s">
        <v>611</v>
      </c>
      <c r="O405" s="168" t="s">
        <v>1429</v>
      </c>
      <c r="P405" s="168" t="s"/>
      <c r="Q405" s="171" t="s">
        <v>791</v>
      </c>
      <c r="R405" s="199" t="s"/>
      <c r="S405" s="199" t="s"/>
      <c r="T405" s="199" t="s"/>
      <c r="U405" s="199" t="s"/>
      <c r="V405" s="199" t="s"/>
      <c r="W405" s="199" t="s"/>
      <c r="X405" s="199" t="s"/>
      <c r="Y405" s="199" t="s"/>
      <c r="Z405" s="200" t="s"/>
      <c r="AA405" s="200" t="s"/>
      <c r="AB405" s="200" t="s"/>
      <c r="AC405" s="200" t="s"/>
      <c r="AD405" s="200" t="s"/>
      <c r="AE405" s="200" t="s"/>
      <c r="AF405" s="200" t="s"/>
      <c r="AG405" s="200" t="s"/>
      <c r="AH405" s="200" t="s"/>
      <c r="AI405" s="200" t="s"/>
      <c r="AJ405" s="200" t="s"/>
      <c r="AK405" s="200" t="s"/>
      <c r="AL405" s="200" t="s"/>
      <c r="AM405" s="200" t="s"/>
    </row>
    <row r="406" spans="1:39" s="431" customFormat="true">
      <c r="A406" s="97">
        <v>405</v>
      </c>
      <c r="B406" s="39" t="s">
        <v>446</v>
      </c>
      <c r="C406" s="173">
        <v>46114.6825</v>
      </c>
      <c r="D406" s="167">
        <v>12</v>
      </c>
      <c r="E406" s="120">
        <v>46114</v>
      </c>
      <c r="F406" s="168" t="s">
        <v>234</v>
      </c>
      <c r="G406" s="39" t="s">
        <v>1466</v>
      </c>
      <c r="H406" s="96" t="s">
        <v>607</v>
      </c>
      <c r="I406" s="166" t="s">
        <v>609</v>
      </c>
      <c r="J406" s="97" t="s">
        <f>=_xlfn.TEXTJOIN("+",TRUE,_xlfn._xlws.FILTER(_xlfn.TEXTSPLIT(H406,,"+"),(_xlfn.TEXTSPLIT(H406,,"+")&lt;&gt;"埃米工具")*(_xlfn.TEXTSPLIT(H406,,"+")&lt;&gt;"埃米广告通")))</f>
        <v>607</v>
      </c>
      <c r="K406" s="109">
        <f>=EDATE(C406,D406)</f>
        <v>46479</v>
      </c>
      <c r="L406" s="168" t="s"/>
      <c r="M406" s="128" t="s"/>
      <c r="N406" s="96" t="s">
        <v>611</v>
      </c>
      <c r="O406" s="168" t="s">
        <v>1429</v>
      </c>
      <c r="P406" s="168" t="s"/>
      <c r="Q406" s="171" t="s"/>
      <c r="R406" s="199" t="s"/>
      <c r="S406" s="199" t="s"/>
      <c r="T406" s="199" t="s"/>
      <c r="U406" s="199" t="s"/>
      <c r="V406" s="199" t="s"/>
      <c r="W406" s="199" t="s"/>
      <c r="X406" s="199" t="s"/>
      <c r="Y406" s="199" t="s"/>
      <c r="Z406" s="200" t="s"/>
      <c r="AA406" s="200" t="s"/>
      <c r="AB406" s="200" t="s"/>
      <c r="AC406" s="200" t="s"/>
      <c r="AD406" s="200" t="s"/>
      <c r="AE406" s="200" t="s"/>
      <c r="AF406" s="200" t="s"/>
      <c r="AG406" s="200" t="s"/>
      <c r="AH406" s="200" t="s"/>
      <c r="AI406" s="200" t="s"/>
      <c r="AJ406" s="200" t="s"/>
      <c r="AK406" s="200" t="s"/>
      <c r="AL406" s="200" t="s"/>
      <c r="AM406" s="200" t="s"/>
    </row>
    <row r="407" spans="1:39" s="431" customFormat="true">
      <c r="A407" s="97">
        <v>406</v>
      </c>
      <c r="B407" s="168" t="s">
        <v>201</v>
      </c>
      <c r="C407" s="162">
        <v>46114.6293402778</v>
      </c>
      <c r="D407" s="167">
        <v>12</v>
      </c>
      <c r="E407" s="120">
        <v>46114</v>
      </c>
      <c r="F407" s="168" t="s">
        <v>228</v>
      </c>
      <c r="G407" s="168" t="s">
        <v>1467</v>
      </c>
      <c r="H407" s="96" t="s">
        <v>12</v>
      </c>
      <c r="I407" s="166" t="s">
        <v>609</v>
      </c>
      <c r="J407" s="97" t="s">
        <f>=_xlfn.TEXTJOIN("+",TRUE,_xlfn._xlws.FILTER(_xlfn.TEXTSPLIT(H407,,"+"),(_xlfn.TEXTSPLIT(H407,,"+")&lt;&gt;"埃米工具")*(_xlfn.TEXTSPLIT(H407,,"+")&lt;&gt;"埃米广告通")))</f>
        <v>12</v>
      </c>
      <c r="K407" s="109">
        <f>=EDATE(C407,D407)</f>
        <v>46479</v>
      </c>
      <c r="L407" s="191">
        <v>46119</v>
      </c>
      <c r="M407" s="208" t="s">
        <v>1468</v>
      </c>
      <c r="N407" s="96" t="s">
        <v>611</v>
      </c>
      <c r="O407" s="168" t="s">
        <v>1320</v>
      </c>
      <c r="P407" s="168" t="s">
        <v>1469</v>
      </c>
      <c r="Q407" s="171" t="s"/>
      <c r="R407" s="199" t="s"/>
      <c r="S407" s="199" t="s"/>
      <c r="T407" s="199" t="s"/>
      <c r="U407" s="199" t="s"/>
      <c r="V407" s="199" t="s"/>
      <c r="W407" s="199" t="s"/>
      <c r="X407" s="199" t="s"/>
      <c r="Y407" s="199" t="s"/>
      <c r="Z407" s="109" t="s"/>
      <c r="AA407" s="200" t="s"/>
      <c r="AB407" s="200" t="s"/>
      <c r="AC407" s="200" t="s"/>
      <c r="AD407" s="200" t="s"/>
      <c r="AE407" s="200" t="s"/>
      <c r="AF407" s="200" t="s"/>
      <c r="AG407" s="200" t="s"/>
      <c r="AH407" s="200" t="s"/>
      <c r="AI407" s="200" t="s"/>
      <c r="AJ407" s="200" t="s"/>
      <c r="AK407" s="200" t="s"/>
      <c r="AL407" s="200" t="s"/>
      <c r="AM407" s="200" t="s"/>
    </row>
    <row r="408" spans="1:39" s="431" customFormat="true">
      <c r="A408" s="97">
        <v>407</v>
      </c>
      <c r="B408" s="166" t="s">
        <v>202</v>
      </c>
      <c r="C408" s="162">
        <v>46114.7204398148</v>
      </c>
      <c r="D408" s="167">
        <v>12</v>
      </c>
      <c r="E408" s="118">
        <v>46115</v>
      </c>
      <c r="F408" s="168" t="s">
        <v>236</v>
      </c>
      <c r="G408" s="168" t="s">
        <v>1470</v>
      </c>
      <c r="H408" s="96" t="s">
        <v>12</v>
      </c>
      <c r="I408" s="166" t="s">
        <v>609</v>
      </c>
      <c r="J408" s="97" t="s">
        <f>=_xlfn.TEXTJOIN("+",TRUE,_xlfn._xlws.FILTER(_xlfn.TEXTSPLIT(H408,,"+"),(_xlfn.TEXTSPLIT(H408,,"+")&lt;&gt;"埃米工具")*(_xlfn.TEXTSPLIT(H408,,"+")&lt;&gt;"埃米广告通")))</f>
        <v>12</v>
      </c>
      <c r="K408" s="109">
        <f>=EDATE(C408,D408)</f>
        <v>46479</v>
      </c>
      <c r="L408" s="191">
        <v>46120</v>
      </c>
      <c r="M408" s="128" t="s">
        <v>968</v>
      </c>
      <c r="N408" s="96" t="s">
        <v>611</v>
      </c>
      <c r="O408" s="168" t="s">
        <v>1405</v>
      </c>
      <c r="P408" s="168" t="s"/>
      <c r="Q408" s="171" t="s"/>
      <c r="R408" s="199" t="s"/>
      <c r="S408" s="199" t="s"/>
      <c r="T408" s="199" t="s"/>
      <c r="U408" s="199" t="s"/>
      <c r="V408" s="199" t="s"/>
      <c r="W408" s="199" t="s"/>
      <c r="X408" s="199" t="s"/>
      <c r="Y408" s="199" t="s"/>
      <c r="Z408" s="109" t="s"/>
      <c r="AA408" s="200" t="s"/>
      <c r="AB408" s="200" t="s"/>
      <c r="AC408" s="200" t="s"/>
      <c r="AD408" s="200" t="s"/>
      <c r="AE408" s="200" t="s"/>
      <c r="AF408" s="200" t="s"/>
      <c r="AG408" s="200" t="s"/>
      <c r="AH408" s="200" t="s"/>
      <c r="AI408" s="200" t="s"/>
      <c r="AJ408" s="200" t="s"/>
      <c r="AK408" s="200" t="s"/>
      <c r="AL408" s="200" t="s"/>
      <c r="AM408" s="200" t="s"/>
    </row>
    <row r="409" spans="1:39" s="431" customFormat="true">
      <c r="A409" s="97" t="s"/>
      <c r="B409" s="166" t="s">
        <v>1471</v>
      </c>
      <c r="C409" s="162">
        <v>46114.7163194444</v>
      </c>
      <c r="D409" s="167">
        <v>12</v>
      </c>
      <c r="E409" s="120">
        <v>46115</v>
      </c>
      <c r="F409" s="168" t="s">
        <v>224</v>
      </c>
      <c r="G409" s="168" t="s">
        <v>1472</v>
      </c>
      <c r="H409" s="96" t="s">
        <v>607</v>
      </c>
      <c r="I409" s="166" t="s">
        <v>646</v>
      </c>
      <c r="J409" s="97" t="s">
        <f>=_xlfn.TEXTJOIN("+",TRUE,_xlfn._xlws.FILTER(_xlfn.TEXTSPLIT(H409,,"+"),(_xlfn.TEXTSPLIT(H409,,"+")&lt;&gt;"埃米工具")*(_xlfn.TEXTSPLIT(H409,,"+")&lt;&gt;"埃米广告通")))</f>
        <v>607</v>
      </c>
      <c r="K409" s="109">
        <f>=EDATE(C409,D409)</f>
        <v>46479</v>
      </c>
      <c r="L409" s="168" t="s"/>
      <c r="M409" s="128" t="s"/>
      <c r="N409" s="96" t="s">
        <v>611</v>
      </c>
      <c r="O409" s="168" t="s">
        <v>1473</v>
      </c>
      <c r="P409" s="168" t="s"/>
      <c r="Q409" s="171" t="s"/>
      <c r="R409" s="199" t="s"/>
      <c r="S409" s="199" t="s"/>
      <c r="T409" s="199" t="s"/>
      <c r="U409" s="199" t="s"/>
      <c r="V409" s="199" t="s"/>
      <c r="W409" s="199" t="s"/>
      <c r="X409" s="199" t="s"/>
      <c r="Y409" s="199" t="s"/>
      <c r="Z409" s="109" t="s"/>
      <c r="AA409" s="200" t="s"/>
      <c r="AB409" s="200" t="s"/>
      <c r="AC409" s="200" t="s"/>
      <c r="AD409" s="200" t="s"/>
      <c r="AE409" s="200" t="s"/>
      <c r="AF409" s="200" t="s"/>
      <c r="AG409" s="200" t="s"/>
      <c r="AH409" s="200" t="s"/>
      <c r="AI409" s="200" t="s"/>
      <c r="AJ409" s="200" t="s"/>
      <c r="AK409" s="200" t="s"/>
      <c r="AL409" s="200" t="s"/>
      <c r="AM409" s="200" t="s"/>
    </row>
    <row r="410" spans="1:39" s="431" customFormat="true">
      <c r="A410" s="97">
        <v>409</v>
      </c>
      <c r="B410" s="168" t="s">
        <v>1474</v>
      </c>
      <c r="C410" s="162">
        <v>46114.7248611111</v>
      </c>
      <c r="D410" s="167">
        <v>12</v>
      </c>
      <c r="E410" s="120">
        <v>46115</v>
      </c>
      <c r="F410" s="168" t="s">
        <v>215</v>
      </c>
      <c r="G410" s="168" t="s">
        <v>1475</v>
      </c>
      <c r="H410" s="96" t="s">
        <v>607</v>
      </c>
      <c r="I410" s="166" t="s">
        <v>609</v>
      </c>
      <c r="J410" s="97" t="s">
        <f>=_xlfn.TEXTJOIN("+",TRUE,_xlfn._xlws.FILTER(_xlfn.TEXTSPLIT(H410,,"+"),(_xlfn.TEXTSPLIT(H410,,"+")&lt;&gt;"埃米工具")*(_xlfn.TEXTSPLIT(H410,,"+")&lt;&gt;"埃米广告通")))</f>
        <v>607</v>
      </c>
      <c r="K410" s="109">
        <f>=EDATE(C410,D410)</f>
        <v>46479</v>
      </c>
      <c r="L410" s="168" t="s"/>
      <c r="M410" s="128" t="s"/>
      <c r="N410" s="168" t="s"/>
      <c r="O410" s="168" t="s"/>
      <c r="P410" s="168" t="s"/>
      <c r="Q410" s="171" t="s"/>
      <c r="R410" s="199" t="s"/>
      <c r="S410" s="199" t="s"/>
      <c r="T410" s="199" t="s"/>
      <c r="U410" s="199" t="s"/>
      <c r="V410" s="199" t="s"/>
      <c r="W410" s="199" t="s"/>
      <c r="X410" s="199" t="s"/>
      <c r="Y410" s="199" t="s"/>
      <c r="Z410" s="109" t="s"/>
      <c r="AA410" s="200" t="s"/>
      <c r="AB410" s="200" t="s"/>
      <c r="AC410" s="200" t="s"/>
      <c r="AD410" s="200" t="s"/>
      <c r="AE410" s="200" t="s"/>
      <c r="AF410" s="200" t="s"/>
      <c r="AG410" s="200" t="s"/>
      <c r="AH410" s="200" t="s"/>
      <c r="AI410" s="200" t="s"/>
      <c r="AJ410" s="200" t="s"/>
      <c r="AK410" s="200" t="s"/>
      <c r="AL410" s="200" t="s"/>
      <c r="AM410" s="200" t="s"/>
    </row>
    <row r="411" spans="1:39" s="431" customFormat="true">
      <c r="A411" s="97">
        <v>410</v>
      </c>
      <c r="B411" s="166" t="s">
        <v>1476</v>
      </c>
      <c r="C411" s="162">
        <v>46115.4859722222</v>
      </c>
      <c r="D411" s="167">
        <v>12</v>
      </c>
      <c r="E411" s="120">
        <v>46115</v>
      </c>
      <c r="F411" s="97" t="s">
        <v>277</v>
      </c>
      <c r="G411" s="168" t="s">
        <v>1477</v>
      </c>
      <c r="H411" s="96" t="s">
        <v>607</v>
      </c>
      <c r="I411" s="166" t="s">
        <v>609</v>
      </c>
      <c r="J411" s="97" t="s">
        <f>=_xlfn.TEXTJOIN("+",TRUE,_xlfn._xlws.FILTER(_xlfn.TEXTSPLIT(H411,,"+"),(_xlfn.TEXTSPLIT(H411,,"+")&lt;&gt;"埃米工具")*(_xlfn.TEXTSPLIT(H411,,"+")&lt;&gt;"埃米广告通")))</f>
        <v>607</v>
      </c>
      <c r="K411" s="109">
        <f>=EDATE(C411,D411)</f>
        <v>46480</v>
      </c>
      <c r="L411" s="168" t="s">
        <v>1387</v>
      </c>
      <c r="M411" s="168" t="s">
        <v>1387</v>
      </c>
      <c r="N411" s="168" t="s"/>
      <c r="O411" s="168" t="s"/>
      <c r="P411" s="168" t="s"/>
      <c r="Q411" s="171" t="s"/>
      <c r="R411" s="199" t="s"/>
      <c r="S411" s="199" t="s"/>
      <c r="T411" s="199" t="s"/>
      <c r="U411" s="199" t="s"/>
      <c r="V411" s="199" t="s"/>
      <c r="W411" s="199" t="s"/>
      <c r="X411" s="199" t="s"/>
      <c r="Y411" s="199" t="s"/>
      <c r="Z411" s="109" t="s"/>
      <c r="AA411" s="200" t="s"/>
      <c r="AB411" s="200" t="s"/>
      <c r="AC411" s="200" t="s"/>
      <c r="AD411" s="200" t="s"/>
      <c r="AE411" s="200" t="s"/>
      <c r="AF411" s="200" t="s"/>
      <c r="AG411" s="200" t="s"/>
      <c r="AH411" s="200" t="s"/>
      <c r="AI411" s="200" t="s"/>
      <c r="AJ411" s="200" t="s"/>
      <c r="AK411" s="200" t="s"/>
      <c r="AL411" s="200" t="s"/>
      <c r="AM411" s="200" t="s"/>
    </row>
    <row r="412" spans="1:39" s="431" customFormat="true">
      <c r="A412" s="97">
        <v>411</v>
      </c>
      <c r="B412" s="166" t="s">
        <v>203</v>
      </c>
      <c r="C412" s="162">
        <v>46115.4507407407</v>
      </c>
      <c r="D412" s="167">
        <v>12</v>
      </c>
      <c r="E412" s="120">
        <v>46115</v>
      </c>
      <c r="F412" s="168" t="s">
        <v>277</v>
      </c>
      <c r="G412" s="179" t="s">
        <v>1478</v>
      </c>
      <c r="H412" s="96" t="s">
        <v>12</v>
      </c>
      <c r="I412" s="166" t="s">
        <v>609</v>
      </c>
      <c r="J412" s="97" t="s">
        <f>=_xlfn.TEXTJOIN("+",TRUE,_xlfn._xlws.FILTER(_xlfn.TEXTSPLIT(H412,,"+"),(_xlfn.TEXTSPLIT(H412,,"+")&lt;&gt;"埃米工具")*(_xlfn.TEXTSPLIT(H412,,"+")&lt;&gt;"埃米广告通")))</f>
        <v>12</v>
      </c>
      <c r="K412" s="109">
        <f>=EDATE(C412,D412)</f>
        <v>46480</v>
      </c>
      <c r="L412" s="168" t="s"/>
      <c r="M412" s="128" t="s"/>
      <c r="N412" s="168" t="s"/>
      <c r="O412" s="168" t="s"/>
      <c r="P412" s="168" t="s"/>
      <c r="Q412" s="171" t="s"/>
      <c r="R412" s="199" t="s"/>
      <c r="S412" s="199" t="s"/>
      <c r="T412" s="199" t="s"/>
      <c r="U412" s="199" t="s"/>
      <c r="V412" s="199" t="s"/>
      <c r="W412" s="199" t="s"/>
      <c r="X412" s="199" t="s"/>
      <c r="Y412" s="199" t="s"/>
      <c r="Z412" s="109" t="s"/>
      <c r="AA412" s="200" t="s"/>
      <c r="AB412" s="200" t="s"/>
      <c r="AC412" s="200" t="s"/>
      <c r="AD412" s="200" t="s"/>
      <c r="AE412" s="200" t="s"/>
      <c r="AF412" s="200" t="s"/>
      <c r="AG412" s="200" t="s"/>
      <c r="AH412" s="200" t="s"/>
      <c r="AI412" s="200" t="s"/>
      <c r="AJ412" s="200" t="s"/>
      <c r="AK412" s="200" t="s"/>
      <c r="AL412" s="200" t="s"/>
      <c r="AM412" s="200" t="s"/>
    </row>
    <row r="413" spans="1:39" s="431" customFormat="true">
      <c r="A413" s="97">
        <v>412</v>
      </c>
      <c r="B413" s="166" t="s">
        <v>204</v>
      </c>
      <c r="C413" s="162">
        <v>46115.4919791667</v>
      </c>
      <c r="D413" s="167">
        <v>12</v>
      </c>
      <c r="E413" s="120">
        <v>46115</v>
      </c>
      <c r="F413" s="39" t="s">
        <v>277</v>
      </c>
      <c r="G413" s="168" t="s">
        <v>1479</v>
      </c>
      <c r="H413" s="96" t="s">
        <v>12</v>
      </c>
      <c r="I413" s="166" t="s">
        <v>646</v>
      </c>
      <c r="J413" s="97" t="s">
        <f>=_xlfn.TEXTJOIN("+",TRUE,_xlfn._xlws.FILTER(_xlfn.TEXTSPLIT(H413,,"+"),(_xlfn.TEXTSPLIT(H413,,"+")&lt;&gt;"埃米工具")*(_xlfn.TEXTSPLIT(H413,,"+")&lt;&gt;"埃米广告通")))</f>
        <v>12</v>
      </c>
      <c r="K413" s="109">
        <f>=EDATE(C413,D413)</f>
        <v>46480</v>
      </c>
      <c r="L413" s="191">
        <v>46120</v>
      </c>
      <c r="M413" s="168" t="s">
        <v>1214</v>
      </c>
      <c r="N413" s="168" t="s"/>
      <c r="O413" s="168" t="s">
        <v>1390</v>
      </c>
      <c r="P413" s="168" t="s"/>
      <c r="Q413" s="171" t="s"/>
      <c r="R413" s="213" t="s"/>
      <c r="S413" s="213" t="s"/>
      <c r="T413" s="214" t="s"/>
      <c r="U413" s="214" t="s"/>
      <c r="V413" s="214" t="s"/>
      <c r="W413" s="214" t="s"/>
      <c r="X413" s="214" t="s"/>
      <c r="Y413" s="214" t="s"/>
      <c r="Z413" s="215" t="s"/>
      <c r="AA413" s="200" t="s"/>
      <c r="AB413" s="200" t="s"/>
      <c r="AC413" s="200" t="s"/>
      <c r="AD413" s="200" t="s"/>
      <c r="AE413" s="200" t="s"/>
      <c r="AF413" s="200" t="s"/>
      <c r="AG413" s="200" t="s"/>
      <c r="AH413" s="200" t="s"/>
      <c r="AI413" s="200" t="s"/>
      <c r="AJ413" s="200" t="s"/>
      <c r="AK413" s="200" t="s"/>
      <c r="AL413" s="200" t="s"/>
      <c r="AM413" s="200" t="s"/>
    </row>
    <row r="414" spans="1:39" s="433" customFormat="true">
      <c r="A414" s="97">
        <v>413</v>
      </c>
      <c r="B414" s="168" t="s">
        <v>1480</v>
      </c>
      <c r="C414" s="162">
        <v>46115.58625</v>
      </c>
      <c r="D414" s="167">
        <v>12</v>
      </c>
      <c r="E414" s="120">
        <v>46116</v>
      </c>
      <c r="F414" s="152" t="s">
        <v>224</v>
      </c>
      <c r="G414" s="168" t="s">
        <v>1481</v>
      </c>
      <c r="H414" s="96" t="s">
        <v>607</v>
      </c>
      <c r="I414" s="166" t="s">
        <v>609</v>
      </c>
      <c r="J414" s="97" t="s">
        <f>=_xlfn.TEXTJOIN("+",TRUE,_xlfn._xlws.FILTER(_xlfn.TEXTSPLIT(H414,,"+"),(_xlfn.TEXTSPLIT(H414,,"+")&lt;&gt;"埃米工具")*(_xlfn.TEXTSPLIT(H414,,"+")&lt;&gt;"埃米广告通")))</f>
        <v>607</v>
      </c>
      <c r="K414" s="109">
        <f>=EDATE(C414,D414)</f>
        <v>46480</v>
      </c>
      <c r="L414" s="168" t="s"/>
      <c r="M414" s="128" t="s"/>
      <c r="N414" s="96" t="s">
        <v>611</v>
      </c>
      <c r="O414" s="168" t="s">
        <v>1482</v>
      </c>
      <c r="P414" s="168" t="s"/>
      <c r="Q414" s="171" t="s">
        <v>791</v>
      </c>
      <c r="R414" s="213" t="s"/>
      <c r="S414" s="213" t="s"/>
      <c r="T414" s="213" t="s"/>
      <c r="U414" s="213" t="s"/>
      <c r="V414" s="213" t="s"/>
      <c r="W414" s="213" t="s"/>
      <c r="X414" s="213" t="s"/>
      <c r="Y414" s="213" t="s"/>
      <c r="Z414" s="216" t="s"/>
      <c r="AA414" s="217" t="s"/>
      <c r="AB414" s="217" t="s"/>
      <c r="AC414" s="217" t="s"/>
      <c r="AD414" s="217" t="s"/>
      <c r="AE414" s="217" t="s"/>
      <c r="AF414" s="217" t="s"/>
      <c r="AG414" s="217" t="s"/>
      <c r="AH414" s="217" t="s"/>
      <c r="AI414" s="217" t="s"/>
      <c r="AJ414" s="217" t="s"/>
      <c r="AK414" s="217" t="s"/>
      <c r="AL414" s="217" t="s"/>
      <c r="AM414" s="217" t="s"/>
    </row>
    <row r="415" spans="1:39" s="433" customFormat="true">
      <c r="A415" s="97">
        <v>414</v>
      </c>
      <c r="B415" s="168" t="s">
        <v>480</v>
      </c>
      <c r="C415" s="162">
        <v>46115.6217592593</v>
      </c>
      <c r="D415" s="167">
        <v>12</v>
      </c>
      <c r="E415" s="118">
        <v>46116</v>
      </c>
      <c r="F415" s="168" t="s">
        <v>234</v>
      </c>
      <c r="G415" s="168" t="s">
        <v>1483</v>
      </c>
      <c r="H415" s="96" t="s">
        <v>607</v>
      </c>
      <c r="I415" s="166" t="s">
        <v>609</v>
      </c>
      <c r="J415" s="97" t="s">
        <f>=_xlfn.TEXTJOIN("+",TRUE,_xlfn._xlws.FILTER(_xlfn.TEXTSPLIT(H415,,"+"),(_xlfn.TEXTSPLIT(H415,,"+")&lt;&gt;"埃米工具")*(_xlfn.TEXTSPLIT(H415,,"+")&lt;&gt;"埃米广告通")))</f>
        <v>607</v>
      </c>
      <c r="K415" s="109">
        <f>=EDATE(C415,D415)</f>
        <v>46480</v>
      </c>
      <c r="L415" s="168" t="s"/>
      <c r="M415" s="128" t="s"/>
      <c r="N415" s="96" t="s">
        <v>611</v>
      </c>
      <c r="O415" s="168" t="s"/>
      <c r="P415" s="168" t="s"/>
      <c r="Q415" s="171" t="s"/>
      <c r="R415" s="213" t="s"/>
      <c r="S415" s="213" t="s"/>
      <c r="T415" s="213" t="s"/>
      <c r="U415" s="213" t="s"/>
      <c r="V415" s="213" t="s"/>
      <c r="W415" s="213" t="s"/>
      <c r="X415" s="213" t="s"/>
      <c r="Y415" s="213" t="s"/>
      <c r="Z415" s="216" t="s"/>
      <c r="AA415" s="217" t="s"/>
      <c r="AB415" s="217" t="s"/>
      <c r="AC415" s="217" t="s"/>
      <c r="AD415" s="217" t="s"/>
      <c r="AE415" s="217" t="s"/>
      <c r="AF415" s="217" t="s"/>
      <c r="AG415" s="217" t="s"/>
      <c r="AH415" s="217" t="s"/>
      <c r="AI415" s="217" t="s"/>
      <c r="AJ415" s="217" t="s"/>
      <c r="AK415" s="217" t="s"/>
      <c r="AL415" s="217" t="s"/>
      <c r="AM415" s="217" t="s"/>
    </row>
    <row r="416" spans="1:39" s="433" customFormat="true">
      <c r="A416" s="97">
        <v>415</v>
      </c>
      <c r="B416" s="179" t="s">
        <v>1484</v>
      </c>
      <c r="C416" s="162">
        <v>46115.6327546296</v>
      </c>
      <c r="D416" s="167">
        <v>12</v>
      </c>
      <c r="E416" s="118">
        <v>46116</v>
      </c>
      <c r="F416" s="168" t="s">
        <v>236</v>
      </c>
      <c r="G416" s="168" t="s">
        <v>1485</v>
      </c>
      <c r="H416" s="96" t="s">
        <v>607</v>
      </c>
      <c r="I416" s="166" t="s">
        <v>609</v>
      </c>
      <c r="J416" s="97" t="s">
        <f>=_xlfn.TEXTJOIN("+",TRUE,_xlfn._xlws.FILTER(_xlfn.TEXTSPLIT(H416,,"+"),(_xlfn.TEXTSPLIT(H416,,"+")&lt;&gt;"埃米工具")*(_xlfn.TEXTSPLIT(H416,,"+")&lt;&gt;"埃米广告通")))</f>
        <v>607</v>
      </c>
      <c r="K416" s="109">
        <f>=EDATE(C416,D416)</f>
        <v>46480</v>
      </c>
      <c r="L416" s="168" t="s"/>
      <c r="M416" s="128" t="s"/>
      <c r="N416" s="96" t="s">
        <v>611</v>
      </c>
      <c r="O416" s="168" t="s">
        <v>1405</v>
      </c>
      <c r="P416" s="168" t="s"/>
      <c r="Q416" s="171" t="s"/>
      <c r="R416" s="213" t="s"/>
      <c r="S416" s="213" t="s"/>
      <c r="T416" s="213" t="s"/>
      <c r="U416" s="213" t="s"/>
      <c r="V416" s="213" t="s"/>
      <c r="W416" s="213" t="s"/>
      <c r="X416" s="213" t="s"/>
      <c r="Y416" s="213" t="s"/>
      <c r="Z416" s="216" t="s"/>
      <c r="AA416" s="217" t="s"/>
      <c r="AB416" s="217" t="s"/>
      <c r="AC416" s="217" t="s"/>
      <c r="AD416" s="217" t="s"/>
      <c r="AE416" s="217" t="s"/>
      <c r="AF416" s="217" t="s"/>
      <c r="AG416" s="217" t="s"/>
      <c r="AH416" s="217" t="s"/>
      <c r="AI416" s="217" t="s"/>
      <c r="AJ416" s="217" t="s"/>
      <c r="AK416" s="217" t="s"/>
      <c r="AL416" s="217" t="s"/>
      <c r="AM416" s="217" t="s"/>
    </row>
    <row r="417" spans="1:39" s="433" customFormat="true">
      <c r="A417" s="97">
        <v>416</v>
      </c>
      <c r="B417" s="166" t="s">
        <v>1486</v>
      </c>
      <c r="C417" s="162">
        <v>46115.6467592593</v>
      </c>
      <c r="D417" s="167">
        <v>12</v>
      </c>
      <c r="E417" s="118">
        <v>46116</v>
      </c>
      <c r="F417" s="168" t="s">
        <v>215</v>
      </c>
      <c r="G417" s="168" t="s">
        <v>1487</v>
      </c>
      <c r="H417" s="96" t="s">
        <v>607</v>
      </c>
      <c r="I417" s="166" t="s">
        <v>609</v>
      </c>
      <c r="J417" s="97" t="s">
        <f>=_xlfn.TEXTJOIN("+",TRUE,_xlfn._xlws.FILTER(_xlfn.TEXTSPLIT(H417,,"+"),(_xlfn.TEXTSPLIT(H417,,"+")&lt;&gt;"埃米工具")*(_xlfn.TEXTSPLIT(H417,,"+")&lt;&gt;"埃米广告通")))</f>
        <v>607</v>
      </c>
      <c r="K417" s="109">
        <f>=EDATE(C417,D417)</f>
        <v>46480</v>
      </c>
      <c r="L417" s="168" t="s"/>
      <c r="M417" s="128" t="s"/>
      <c r="N417" s="168" t="s"/>
      <c r="O417" s="168" t="s"/>
      <c r="P417" s="168" t="s"/>
      <c r="Q417" s="171" t="s"/>
      <c r="R417" s="213" t="s"/>
      <c r="S417" s="213" t="s"/>
      <c r="T417" s="213" t="s"/>
      <c r="U417" s="213" t="s"/>
      <c r="V417" s="213" t="s"/>
      <c r="W417" s="213" t="s"/>
      <c r="X417" s="213" t="s"/>
      <c r="Y417" s="213" t="s"/>
      <c r="Z417" s="216" t="s"/>
      <c r="AA417" s="217" t="s"/>
      <c r="AB417" s="217" t="s"/>
      <c r="AC417" s="217" t="s"/>
      <c r="AD417" s="217" t="s"/>
      <c r="AE417" s="217" t="s"/>
      <c r="AF417" s="217" t="s"/>
      <c r="AG417" s="217" t="s"/>
      <c r="AH417" s="217" t="s"/>
      <c r="AI417" s="217" t="s"/>
      <c r="AJ417" s="217" t="s"/>
      <c r="AK417" s="217" t="s"/>
      <c r="AL417" s="217" t="s"/>
      <c r="AM417" s="217" t="s"/>
    </row>
    <row r="418" spans="1:39" s="433" customFormat="true">
      <c r="A418" s="97">
        <v>417</v>
      </c>
      <c r="B418" s="166" t="s">
        <v>1488</v>
      </c>
      <c r="C418" s="162">
        <v>46115.6569791667</v>
      </c>
      <c r="D418" s="167">
        <v>12</v>
      </c>
      <c r="E418" s="120">
        <v>46116</v>
      </c>
      <c r="F418" s="168" t="s">
        <v>228</v>
      </c>
      <c r="G418" s="168" t="s">
        <v>1489</v>
      </c>
      <c r="H418" s="96" t="s">
        <v>607</v>
      </c>
      <c r="I418" s="166" t="s">
        <v>646</v>
      </c>
      <c r="J418" s="97" t="s">
        <f>=_xlfn.TEXTJOIN("+",TRUE,_xlfn._xlws.FILTER(_xlfn.TEXTSPLIT(H418,,"+"),(_xlfn.TEXTSPLIT(H418,,"+")&lt;&gt;"埃米工具")*(_xlfn.TEXTSPLIT(H418,,"+")&lt;&gt;"埃米广告通")))</f>
        <v>607</v>
      </c>
      <c r="K418" s="109">
        <f>=EDATE(C418,D418)</f>
        <v>46480</v>
      </c>
      <c r="L418" s="168" t="s"/>
      <c r="M418" s="128" t="s"/>
      <c r="N418" s="168" t="s"/>
      <c r="O418" s="168" t="s">
        <v>1490</v>
      </c>
      <c r="P418" s="168" t="s"/>
      <c r="Q418" s="171" t="s"/>
      <c r="R418" s="213" t="s"/>
      <c r="S418" s="213" t="s"/>
      <c r="T418" s="213" t="s"/>
      <c r="U418" s="213" t="s"/>
      <c r="V418" s="213" t="s"/>
      <c r="W418" s="213" t="s"/>
      <c r="X418" s="213" t="s"/>
      <c r="Y418" s="213" t="s"/>
      <c r="Z418" s="216" t="s"/>
      <c r="AA418" s="217" t="s"/>
      <c r="AB418" s="217" t="s"/>
      <c r="AC418" s="217" t="s"/>
      <c r="AD418" s="217" t="s"/>
      <c r="AE418" s="217" t="s"/>
      <c r="AF418" s="217" t="s"/>
      <c r="AG418" s="217" t="s"/>
      <c r="AH418" s="217" t="s"/>
      <c r="AI418" s="217" t="s"/>
      <c r="AJ418" s="217" t="s"/>
      <c r="AK418" s="217" t="s"/>
      <c r="AL418" s="217" t="s"/>
      <c r="AM418" s="217" t="s"/>
    </row>
    <row r="419" spans="1:39" s="433" customFormat="true">
      <c r="A419" s="97">
        <v>418</v>
      </c>
      <c r="B419" s="168" t="s">
        <v>1491</v>
      </c>
      <c r="C419" s="162">
        <v>46115.7350231482</v>
      </c>
      <c r="D419" s="167">
        <v>12</v>
      </c>
      <c r="E419" s="120">
        <v>46119</v>
      </c>
      <c r="F419" s="168" t="s">
        <v>277</v>
      </c>
      <c r="G419" s="168" t="s">
        <v>1492</v>
      </c>
      <c r="H419" s="96" t="s">
        <v>607</v>
      </c>
      <c r="I419" s="166" t="s">
        <v>609</v>
      </c>
      <c r="J419" s="97" t="s">
        <f>=_xlfn.TEXTJOIN("+",TRUE,_xlfn._xlws.FILTER(_xlfn.TEXTSPLIT(H419,,"+"),(_xlfn.TEXTSPLIT(H419,,"+")&lt;&gt;"埃米工具")*(_xlfn.TEXTSPLIT(H419,,"+")&lt;&gt;"埃米广告通")))</f>
        <v>607</v>
      </c>
      <c r="K419" s="109">
        <f>=EDATE(C419,D419)</f>
        <v>46480</v>
      </c>
      <c r="L419" s="168" t="s">
        <v>1387</v>
      </c>
      <c r="M419" s="168" t="s">
        <v>1387</v>
      </c>
      <c r="N419" s="168" t="s"/>
      <c r="O419" s="168" t="s"/>
      <c r="P419" s="168" t="s"/>
      <c r="Q419" s="171" t="s"/>
      <c r="R419" s="213" t="s"/>
      <c r="S419" s="213" t="s"/>
      <c r="T419" s="213" t="s"/>
      <c r="U419" s="213" t="s"/>
      <c r="V419" s="213" t="s"/>
      <c r="W419" s="213" t="s"/>
      <c r="X419" s="213" t="s"/>
      <c r="Y419" s="213" t="s"/>
      <c r="Z419" s="216" t="s"/>
      <c r="AA419" s="217" t="s"/>
      <c r="AB419" s="217" t="s"/>
      <c r="AC419" s="217" t="s"/>
      <c r="AD419" s="217" t="s"/>
      <c r="AE419" s="217" t="s"/>
      <c r="AF419" s="217" t="s"/>
      <c r="AG419" s="217" t="s"/>
      <c r="AH419" s="217" t="s"/>
      <c r="AI419" s="217" t="s"/>
      <c r="AJ419" s="217" t="s"/>
      <c r="AK419" s="217" t="s"/>
      <c r="AL419" s="217" t="s"/>
      <c r="AM419" s="217" t="s"/>
    </row>
    <row r="420" spans="1:39" s="433" customFormat="true">
      <c r="A420" s="97">
        <v>419</v>
      </c>
      <c r="B420" s="168" t="s">
        <v>1493</v>
      </c>
      <c r="C420" s="162">
        <v>46115.7352430556</v>
      </c>
      <c r="D420" s="167">
        <v>12</v>
      </c>
      <c r="E420" s="120">
        <v>46119</v>
      </c>
      <c r="F420" s="168" t="s">
        <v>277</v>
      </c>
      <c r="G420" s="168" t="s">
        <v>1494</v>
      </c>
      <c r="H420" s="96" t="s">
        <v>607</v>
      </c>
      <c r="I420" s="166" t="s">
        <v>646</v>
      </c>
      <c r="J420" s="97" t="s">
        <f>=_xlfn.TEXTJOIN("+",TRUE,_xlfn._xlws.FILTER(_xlfn.TEXTSPLIT(H420,,"+"),(_xlfn.TEXTSPLIT(H420,,"+")&lt;&gt;"埃米工具")*(_xlfn.TEXTSPLIT(H420,,"+")&lt;&gt;"埃米广告通")))</f>
        <v>607</v>
      </c>
      <c r="K420" s="109">
        <f>=EDATE(C420,D420)</f>
        <v>46480</v>
      </c>
      <c r="L420" s="168" t="s">
        <v>1387</v>
      </c>
      <c r="M420" s="168" t="s">
        <v>1387</v>
      </c>
      <c r="N420" s="168" t="s"/>
      <c r="O420" s="168" t="s"/>
      <c r="P420" s="168" t="s"/>
      <c r="Q420" s="171" t="s"/>
      <c r="R420" s="213" t="s"/>
      <c r="S420" s="213" t="s"/>
      <c r="T420" s="213" t="s"/>
      <c r="U420" s="213" t="s"/>
      <c r="V420" s="213" t="s"/>
      <c r="W420" s="213" t="s"/>
      <c r="X420" s="213" t="s"/>
      <c r="Y420" s="213" t="s"/>
      <c r="Z420" s="216" t="s"/>
      <c r="AA420" s="217" t="s"/>
      <c r="AB420" s="217" t="s"/>
      <c r="AC420" s="217" t="s"/>
      <c r="AD420" s="217" t="s"/>
      <c r="AE420" s="217" t="s"/>
      <c r="AF420" s="217" t="s"/>
      <c r="AG420" s="217" t="s"/>
      <c r="AH420" s="217" t="s"/>
      <c r="AI420" s="217" t="s"/>
      <c r="AJ420" s="217" t="s"/>
      <c r="AK420" s="217" t="s"/>
      <c r="AL420" s="217" t="s"/>
      <c r="AM420" s="217" t="s"/>
    </row>
    <row r="421" spans="1:39" s="433" customFormat="true">
      <c r="A421" s="97">
        <v>420</v>
      </c>
      <c r="B421" s="168" t="s">
        <v>463</v>
      </c>
      <c r="C421" s="162">
        <v>46115.6953703704</v>
      </c>
      <c r="D421" s="167">
        <v>24</v>
      </c>
      <c r="E421" s="120">
        <v>46119</v>
      </c>
      <c r="F421" s="97" t="s">
        <v>239</v>
      </c>
      <c r="G421" s="168" t="s">
        <v>1495</v>
      </c>
      <c r="H421" s="96" t="s">
        <v>607</v>
      </c>
      <c r="I421" s="166" t="s">
        <v>609</v>
      </c>
      <c r="J421" s="97" t="s">
        <f>=_xlfn.TEXTJOIN("+",TRUE,_xlfn._xlws.FILTER(_xlfn.TEXTSPLIT(H421,,"+"),(_xlfn.TEXTSPLIT(H421,,"+")&lt;&gt;"埃米工具")*(_xlfn.TEXTSPLIT(H421,,"+")&lt;&gt;"埃米广告通")))</f>
        <v>607</v>
      </c>
      <c r="K421" s="109">
        <f>=EDATE(C421,D421)</f>
        <v>46846</v>
      </c>
      <c r="L421" s="168" t="s"/>
      <c r="M421" s="128" t="s"/>
      <c r="N421" s="168" t="s"/>
      <c r="O421" s="168" t="s">
        <v>1496</v>
      </c>
      <c r="P421" s="168" t="s"/>
      <c r="Q421" s="171" t="s"/>
      <c r="R421" s="213" t="s"/>
      <c r="S421" s="213" t="s"/>
      <c r="T421" s="213" t="s"/>
      <c r="U421" s="213" t="s"/>
      <c r="V421" s="213" t="s"/>
      <c r="W421" s="213" t="s"/>
      <c r="X421" s="213" t="s"/>
      <c r="Y421" s="213" t="s"/>
      <c r="Z421" s="216" t="s"/>
      <c r="AA421" s="217" t="s"/>
      <c r="AB421" s="217" t="s"/>
      <c r="AC421" s="217" t="s"/>
      <c r="AD421" s="217" t="s"/>
      <c r="AE421" s="217" t="s"/>
      <c r="AF421" s="217" t="s"/>
      <c r="AG421" s="217" t="s"/>
      <c r="AH421" s="217" t="s"/>
      <c r="AI421" s="217" t="s"/>
      <c r="AJ421" s="217" t="s"/>
      <c r="AK421" s="217" t="s"/>
      <c r="AL421" s="217" t="s"/>
      <c r="AM421" s="217" t="s"/>
    </row>
    <row r="422" spans="1:39" s="433" customFormat="true">
      <c r="A422" s="97">
        <v>421</v>
      </c>
      <c r="B422" s="168" t="s">
        <v>457</v>
      </c>
      <c r="C422" s="162">
        <v>46115.7226967593</v>
      </c>
      <c r="D422" s="167">
        <v>12</v>
      </c>
      <c r="E422" s="120">
        <v>46119</v>
      </c>
      <c r="F422" s="97" t="s">
        <v>239</v>
      </c>
      <c r="G422" s="168" t="s">
        <v>1497</v>
      </c>
      <c r="H422" s="96" t="s">
        <v>607</v>
      </c>
      <c r="I422" s="166" t="s">
        <v>609</v>
      </c>
      <c r="J422" s="97" t="s">
        <f>=_xlfn.TEXTJOIN("+",TRUE,_xlfn._xlws.FILTER(_xlfn.TEXTSPLIT(H422,,"+"),(_xlfn.TEXTSPLIT(H422,,"+")&lt;&gt;"埃米工具")*(_xlfn.TEXTSPLIT(H422,,"+")&lt;&gt;"埃米广告通")))</f>
        <v>607</v>
      </c>
      <c r="K422" s="109">
        <f>=EDATE(C422,D422)</f>
        <v>46480</v>
      </c>
      <c r="L422" s="168" t="s"/>
      <c r="M422" s="128" t="s"/>
      <c r="N422" s="168" t="s"/>
      <c r="O422" s="168" t="s">
        <v>1496</v>
      </c>
      <c r="P422" s="168" t="s"/>
      <c r="Q422" s="171" t="s"/>
      <c r="R422" s="213" t="s"/>
      <c r="S422" s="213" t="s"/>
      <c r="T422" s="213" t="s"/>
      <c r="U422" s="213" t="s"/>
      <c r="V422" s="213" t="s"/>
      <c r="W422" s="213" t="s"/>
      <c r="X422" s="213" t="s"/>
      <c r="Y422" s="213" t="s"/>
      <c r="Z422" s="216" t="s"/>
      <c r="AA422" s="217" t="s"/>
      <c r="AB422" s="217" t="s"/>
      <c r="AC422" s="217" t="s"/>
      <c r="AD422" s="217" t="s"/>
      <c r="AE422" s="217" t="s"/>
      <c r="AF422" s="217" t="s"/>
      <c r="AG422" s="217" t="s"/>
      <c r="AH422" s="217" t="s"/>
      <c r="AI422" s="217" t="s"/>
      <c r="AJ422" s="217" t="s"/>
      <c r="AK422" s="217" t="s"/>
      <c r="AL422" s="217" t="s"/>
      <c r="AM422" s="217" t="s"/>
    </row>
    <row r="423" spans="1:39" s="433" customFormat="true">
      <c r="A423" s="97">
        <v>422</v>
      </c>
      <c r="B423" s="205" t="s">
        <v>465</v>
      </c>
      <c r="C423" s="162">
        <v>46115.784525463</v>
      </c>
      <c r="D423" s="167">
        <v>12</v>
      </c>
      <c r="E423" s="120">
        <v>46119</v>
      </c>
      <c r="F423" s="97" t="s">
        <v>239</v>
      </c>
      <c r="G423" s="205" t="s">
        <v>1498</v>
      </c>
      <c r="H423" s="96" t="s">
        <v>607</v>
      </c>
      <c r="I423" s="166" t="s">
        <v>609</v>
      </c>
      <c r="J423" s="97" t="s">
        <f>=_xlfn.TEXTJOIN("+",TRUE,_xlfn._xlws.FILTER(_xlfn.TEXTSPLIT(H423,,"+"),(_xlfn.TEXTSPLIT(H423,,"+")&lt;&gt;"埃米工具")*(_xlfn.TEXTSPLIT(H423,,"+")&lt;&gt;"埃米广告通")))</f>
        <v>607</v>
      </c>
      <c r="K423" s="109">
        <f>=EDATE(C423,D423)</f>
        <v>46480</v>
      </c>
      <c r="L423" s="168" t="s"/>
      <c r="M423" s="128" t="s"/>
      <c r="N423" s="168" t="s"/>
      <c r="O423" s="168" t="s">
        <v>1496</v>
      </c>
      <c r="P423" s="168" t="s"/>
      <c r="Q423" s="171" t="s"/>
      <c r="R423" s="213" t="s"/>
      <c r="S423" s="213" t="s"/>
      <c r="T423" s="213" t="s"/>
      <c r="U423" s="213" t="s"/>
      <c r="V423" s="213" t="s"/>
      <c r="W423" s="213" t="s"/>
      <c r="X423" s="213" t="s"/>
      <c r="Y423" s="213" t="s"/>
      <c r="Z423" s="217" t="s"/>
      <c r="AA423" s="217" t="s"/>
      <c r="AB423" s="217" t="s"/>
      <c r="AC423" s="217" t="s"/>
      <c r="AD423" s="217" t="s"/>
      <c r="AE423" s="217" t="s"/>
      <c r="AF423" s="217" t="s"/>
      <c r="AG423" s="217" t="s"/>
      <c r="AH423" s="217" t="s"/>
      <c r="AI423" s="217" t="s"/>
      <c r="AJ423" s="217" t="s"/>
      <c r="AK423" s="217" t="s"/>
      <c r="AL423" s="217" t="s"/>
      <c r="AM423" s="217" t="s"/>
    </row>
    <row r="424" spans="1:39" s="433" customFormat="true">
      <c r="A424" s="97">
        <v>423</v>
      </c>
      <c r="B424" s="205" t="s">
        <v>461</v>
      </c>
      <c r="C424" s="162">
        <v>46115.6571527778</v>
      </c>
      <c r="D424" s="167">
        <v>12</v>
      </c>
      <c r="E424" s="120">
        <v>46119</v>
      </c>
      <c r="F424" s="97" t="s">
        <v>239</v>
      </c>
      <c r="G424" s="205" t="s">
        <v>1499</v>
      </c>
      <c r="H424" s="96" t="s">
        <v>607</v>
      </c>
      <c r="I424" s="166" t="s">
        <v>609</v>
      </c>
      <c r="J424" s="97" t="s">
        <f>=_xlfn.TEXTJOIN("+",TRUE,_xlfn._xlws.FILTER(_xlfn.TEXTSPLIT(H424,,"+"),(_xlfn.TEXTSPLIT(H424,,"+")&lt;&gt;"埃米工具")*(_xlfn.TEXTSPLIT(H424,,"+")&lt;&gt;"埃米广告通")))</f>
        <v>607</v>
      </c>
      <c r="K424" s="109">
        <f>=EDATE(C424,D424)</f>
        <v>46480</v>
      </c>
      <c r="L424" s="168" t="s"/>
      <c r="M424" s="128" t="s"/>
      <c r="N424" s="168" t="s"/>
      <c r="O424" s="168" t="s">
        <v>1496</v>
      </c>
      <c r="P424" s="168" t="s"/>
      <c r="Q424" s="171" t="s"/>
      <c r="R424" s="213" t="s"/>
      <c r="S424" s="213" t="s"/>
      <c r="T424" s="213" t="s"/>
      <c r="U424" s="213" t="s"/>
      <c r="V424" s="213" t="s"/>
      <c r="W424" s="213" t="s"/>
      <c r="X424" s="213" t="s"/>
      <c r="Y424" s="213" t="s"/>
      <c r="Z424" s="217" t="s"/>
      <c r="AA424" s="217" t="s"/>
      <c r="AB424" s="217" t="s"/>
      <c r="AC424" s="217" t="s"/>
      <c r="AD424" s="217" t="s"/>
      <c r="AE424" s="217" t="s"/>
      <c r="AF424" s="217" t="s"/>
      <c r="AG424" s="217" t="s"/>
      <c r="AH424" s="217" t="s"/>
      <c r="AI424" s="217" t="s"/>
      <c r="AJ424" s="217" t="s"/>
      <c r="AK424" s="217" t="s"/>
      <c r="AL424" s="217" t="s"/>
      <c r="AM424" s="217" t="s"/>
    </row>
    <row r="425" spans="1:39" s="433" customFormat="true">
      <c r="A425" s="97">
        <v>424</v>
      </c>
      <c r="B425" s="205" t="s">
        <v>205</v>
      </c>
      <c r="C425" s="162">
        <v>46115.7913078704</v>
      </c>
      <c r="D425" s="167">
        <v>12</v>
      </c>
      <c r="E425" s="120">
        <v>46119</v>
      </c>
      <c r="F425" s="97" t="s">
        <v>239</v>
      </c>
      <c r="G425" s="205" t="s">
        <v>1500</v>
      </c>
      <c r="H425" s="96" t="s">
        <v>12</v>
      </c>
      <c r="I425" s="166" t="s">
        <v>609</v>
      </c>
      <c r="J425" s="97" t="s">
        <f>=_xlfn.TEXTJOIN("+",TRUE,_xlfn._xlws.FILTER(_xlfn.TEXTSPLIT(H425,,"+"),(_xlfn.TEXTSPLIT(H425,,"+")&lt;&gt;"埃米工具")*(_xlfn.TEXTSPLIT(H425,,"+")&lt;&gt;"埃米广告通")))</f>
        <v>12</v>
      </c>
      <c r="K425" s="109">
        <f>=EDATE(C425,D425)</f>
        <v>46480</v>
      </c>
      <c r="L425" s="168" t="s"/>
      <c r="M425" s="128" t="s"/>
      <c r="N425" s="168" t="s"/>
      <c r="O425" s="168" t="s"/>
      <c r="P425" s="168" t="s"/>
      <c r="Q425" s="171" t="s"/>
      <c r="R425" s="213" t="s"/>
      <c r="S425" s="213" t="s"/>
      <c r="T425" s="213" t="s"/>
      <c r="U425" s="213" t="s"/>
      <c r="V425" s="213" t="s"/>
      <c r="W425" s="213" t="s"/>
      <c r="X425" s="213" t="s"/>
      <c r="Y425" s="213" t="s"/>
      <c r="Z425" s="217" t="s"/>
      <c r="AA425" s="217" t="s"/>
      <c r="AB425" s="217" t="s"/>
      <c r="AC425" s="217" t="s"/>
      <c r="AD425" s="217" t="s"/>
      <c r="AE425" s="217" t="s"/>
      <c r="AF425" s="217" t="s"/>
      <c r="AG425" s="217" t="s"/>
      <c r="AH425" s="217" t="s"/>
      <c r="AI425" s="217" t="s"/>
      <c r="AJ425" s="217" t="s"/>
      <c r="AK425" s="217" t="s"/>
      <c r="AL425" s="217" t="s"/>
      <c r="AM425" s="217" t="s"/>
    </row>
    <row r="426" spans="1:39" s="433" customFormat="true">
      <c r="A426" s="97">
        <v>425</v>
      </c>
      <c r="B426" s="205" t="s">
        <v>1501</v>
      </c>
      <c r="C426" s="162">
        <v>46119.3751273148</v>
      </c>
      <c r="D426" s="167">
        <v>12</v>
      </c>
      <c r="E426" s="120">
        <v>46119</v>
      </c>
      <c r="F426" s="97" t="s">
        <v>239</v>
      </c>
      <c r="G426" s="205" t="s">
        <v>1502</v>
      </c>
      <c r="H426" s="96" t="s">
        <v>607</v>
      </c>
      <c r="I426" s="166" t="s">
        <v>609</v>
      </c>
      <c r="J426" s="97" t="s">
        <f>=_xlfn.TEXTJOIN("+",TRUE,_xlfn._xlws.FILTER(_xlfn.TEXTSPLIT(H426,,"+"),(_xlfn.TEXTSPLIT(H426,,"+")&lt;&gt;"埃米工具")*(_xlfn.TEXTSPLIT(H426,,"+")&lt;&gt;"埃米广告通")))</f>
        <v>607</v>
      </c>
      <c r="K426" s="109">
        <f>=EDATE(C426,D426)</f>
        <v>46484</v>
      </c>
      <c r="L426" s="168" t="s"/>
      <c r="M426" s="128" t="s"/>
      <c r="N426" s="168" t="s"/>
      <c r="O426" s="168" t="s"/>
      <c r="P426" s="168" t="s"/>
      <c r="Q426" s="171" t="s">
        <v>791</v>
      </c>
      <c r="R426" s="213" t="s"/>
      <c r="S426" s="213" t="s"/>
      <c r="T426" s="213" t="s"/>
      <c r="U426" s="213" t="s"/>
      <c r="V426" s="213" t="s"/>
      <c r="W426" s="213" t="s"/>
      <c r="X426" s="213" t="s"/>
      <c r="Y426" s="213" t="s"/>
      <c r="Z426" s="217" t="s"/>
      <c r="AA426" s="217" t="s"/>
      <c r="AB426" s="217" t="s"/>
      <c r="AC426" s="217" t="s"/>
      <c r="AD426" s="217" t="s"/>
      <c r="AE426" s="217" t="s"/>
      <c r="AF426" s="217" t="s"/>
      <c r="AG426" s="217" t="s"/>
      <c r="AH426" s="217" t="s"/>
      <c r="AI426" s="217" t="s"/>
      <c r="AJ426" s="217" t="s"/>
      <c r="AK426" s="217" t="s"/>
      <c r="AL426" s="217" t="s"/>
      <c r="AM426" s="217" t="s"/>
    </row>
    <row r="427" spans="1:39" s="431" customFormat="true">
      <c r="A427" s="97">
        <v>426</v>
      </c>
      <c r="B427" s="187" t="s">
        <v>1503</v>
      </c>
      <c r="C427" s="162">
        <v>46119.5605555556</v>
      </c>
      <c r="D427" s="167">
        <v>12</v>
      </c>
      <c r="E427" s="120">
        <v>46119</v>
      </c>
      <c r="F427" s="97" t="s">
        <v>239</v>
      </c>
      <c r="G427" s="167" t="s">
        <v>1504</v>
      </c>
      <c r="H427" s="96" t="s">
        <v>607</v>
      </c>
      <c r="I427" s="187" t="s">
        <v>609</v>
      </c>
      <c r="J427" s="97" t="s">
        <f>=_xlfn.TEXTJOIN("+",TRUE,_xlfn._xlws.FILTER(_xlfn.TEXTSPLIT(H427,,"+"),(_xlfn.TEXTSPLIT(H427,,"+")&lt;&gt;"埃米工具")*(_xlfn.TEXTSPLIT(H427,,"+")&lt;&gt;"埃米广告通")))</f>
        <v>607</v>
      </c>
      <c r="K427" s="109">
        <f>=EDATE(C427,D427)</f>
        <v>46484</v>
      </c>
      <c r="L427" s="167" t="s"/>
      <c r="M427" s="128" t="s"/>
      <c r="N427" s="168" t="s"/>
      <c r="O427" s="168" t="s"/>
      <c r="P427" s="168" t="s"/>
      <c r="Q427" s="171" t="s"/>
      <c r="R427" s="199" t="s"/>
      <c r="S427" s="199" t="s"/>
      <c r="T427" s="199" t="s"/>
      <c r="U427" s="199" t="s"/>
      <c r="V427" s="199" t="s"/>
      <c r="W427" s="199" t="s"/>
      <c r="X427" s="199" t="s"/>
      <c r="Y427" s="199" t="s"/>
      <c r="Z427" s="200" t="s"/>
      <c r="AA427" s="200" t="s"/>
      <c r="AB427" s="200" t="s"/>
      <c r="AC427" s="200" t="s"/>
      <c r="AD427" s="200" t="s"/>
      <c r="AE427" s="200" t="s"/>
      <c r="AF427" s="200" t="s"/>
      <c r="AG427" s="200" t="s"/>
      <c r="AH427" s="200" t="s"/>
      <c r="AI427" s="200" t="s"/>
      <c r="AJ427" s="200" t="s"/>
      <c r="AK427" s="200" t="s"/>
      <c r="AL427" s="200" t="s"/>
      <c r="AM427" s="200" t="s"/>
    </row>
    <row r="428" spans="1:39" s="431" customFormat="true">
      <c r="A428" s="97">
        <v>427</v>
      </c>
      <c r="B428" s="187" t="s">
        <v>206</v>
      </c>
      <c r="C428" s="162">
        <v>46119.5855555556</v>
      </c>
      <c r="D428" s="167">
        <v>12</v>
      </c>
      <c r="E428" s="120">
        <v>46119</v>
      </c>
      <c r="F428" s="97" t="s">
        <v>239</v>
      </c>
      <c r="G428" s="167" t="s">
        <v>1505</v>
      </c>
      <c r="H428" s="96" t="s">
        <v>12</v>
      </c>
      <c r="I428" s="187" t="s">
        <v>609</v>
      </c>
      <c r="J428" s="97" t="s">
        <f>=_xlfn.TEXTJOIN("+",TRUE,_xlfn._xlws.FILTER(_xlfn.TEXTSPLIT(H428,,"+"),(_xlfn.TEXTSPLIT(H428,,"+")&lt;&gt;"埃米工具")*(_xlfn.TEXTSPLIT(H428,,"+")&lt;&gt;"埃米广告通")))</f>
        <v>12</v>
      </c>
      <c r="K428" s="109">
        <f>=EDATE(C428,D428)</f>
        <v>46484</v>
      </c>
      <c r="L428" s="218">
        <v>46119</v>
      </c>
      <c r="M428" s="168" t="s">
        <v>1506</v>
      </c>
      <c r="N428" s="168" t="s"/>
      <c r="O428" s="168" t="s">
        <v>1496</v>
      </c>
      <c r="P428" s="168" t="s"/>
      <c r="Q428" s="171" t="s"/>
      <c r="R428" s="199" t="s"/>
      <c r="S428" s="199" t="s"/>
      <c r="T428" s="199" t="s"/>
      <c r="U428" s="199" t="s"/>
      <c r="V428" s="199" t="s"/>
      <c r="W428" s="199" t="s"/>
      <c r="X428" s="199" t="s"/>
      <c r="Y428" s="199" t="s"/>
      <c r="Z428" s="200" t="s"/>
      <c r="AA428" s="200" t="s"/>
      <c r="AB428" s="200" t="s"/>
      <c r="AC428" s="200" t="s"/>
      <c r="AD428" s="200" t="s"/>
      <c r="AE428" s="200" t="s"/>
      <c r="AF428" s="200" t="s"/>
      <c r="AG428" s="200" t="s"/>
      <c r="AH428" s="200" t="s"/>
      <c r="AI428" s="200" t="s"/>
      <c r="AJ428" s="200" t="s"/>
      <c r="AK428" s="200" t="s"/>
      <c r="AL428" s="200" t="s"/>
      <c r="AM428" s="200" t="s"/>
    </row>
    <row r="429" spans="1:39" s="431" customFormat="true">
      <c r="A429" s="97">
        <v>428</v>
      </c>
      <c r="B429" s="187" t="s">
        <v>1507</v>
      </c>
      <c r="C429" s="162">
        <v>46119.5923842593</v>
      </c>
      <c r="D429" s="167">
        <v>12</v>
      </c>
      <c r="E429" s="120">
        <v>46119</v>
      </c>
      <c r="F429" s="167" t="s">
        <v>277</v>
      </c>
      <c r="G429" s="167" t="s">
        <v>1508</v>
      </c>
      <c r="H429" s="96" t="s">
        <v>607</v>
      </c>
      <c r="I429" s="187" t="s">
        <v>646</v>
      </c>
      <c r="J429" s="97" t="s">
        <f>=_xlfn.TEXTJOIN("+",TRUE,_xlfn._xlws.FILTER(_xlfn.TEXTSPLIT(H429,,"+"),(_xlfn.TEXTSPLIT(H429,,"+")&lt;&gt;"埃米工具")*(_xlfn.TEXTSPLIT(H429,,"+")&lt;&gt;"埃米广告通")))</f>
        <v>607</v>
      </c>
      <c r="K429" s="109">
        <f>=EDATE(C429,D429)</f>
        <v>46484</v>
      </c>
      <c r="L429" s="167" t="s">
        <v>1387</v>
      </c>
      <c r="M429" s="168" t="s">
        <v>1387</v>
      </c>
      <c r="N429" s="168" t="s"/>
      <c r="O429" s="168" t="s"/>
      <c r="P429" s="168" t="s"/>
      <c r="Q429" s="171" t="s"/>
      <c r="R429" s="199" t="s"/>
      <c r="S429" s="199" t="s"/>
      <c r="T429" s="199" t="s"/>
      <c r="U429" s="199" t="s"/>
      <c r="V429" s="199" t="s"/>
      <c r="W429" s="199" t="s"/>
      <c r="X429" s="199" t="s"/>
      <c r="Y429" s="199" t="s"/>
      <c r="Z429" s="200" t="s"/>
      <c r="AA429" s="200" t="s"/>
      <c r="AB429" s="200" t="s"/>
      <c r="AC429" s="200" t="s"/>
      <c r="AD429" s="200" t="s"/>
      <c r="AE429" s="200" t="s"/>
      <c r="AF429" s="200" t="s"/>
      <c r="AG429" s="200" t="s"/>
      <c r="AH429" s="200" t="s"/>
      <c r="AI429" s="200" t="s"/>
      <c r="AJ429" s="200" t="s"/>
      <c r="AK429" s="200" t="s"/>
      <c r="AL429" s="200" t="s"/>
      <c r="AM429" s="200" t="s"/>
    </row>
    <row r="430" spans="1:39" s="431" customFormat="true">
      <c r="A430" s="97">
        <v>429</v>
      </c>
      <c r="B430" s="204" t="s">
        <v>1509</v>
      </c>
      <c r="C430" s="162">
        <v>46119.6252314815</v>
      </c>
      <c r="D430" s="167">
        <v>12</v>
      </c>
      <c r="E430" s="120">
        <v>46119</v>
      </c>
      <c r="F430" s="97" t="s">
        <v>239</v>
      </c>
      <c r="G430" s="167" t="s">
        <v>1510</v>
      </c>
      <c r="H430" s="96" t="s">
        <v>607</v>
      </c>
      <c r="I430" s="187" t="s">
        <v>609</v>
      </c>
      <c r="J430" s="97" t="s">
        <f>=_xlfn.TEXTJOIN("+",TRUE,_xlfn._xlws.FILTER(_xlfn.TEXTSPLIT(H430,,"+"),(_xlfn.TEXTSPLIT(H430,,"+")&lt;&gt;"埃米工具")*(_xlfn.TEXTSPLIT(H430,,"+")&lt;&gt;"埃米广告通")))</f>
        <v>607</v>
      </c>
      <c r="K430" s="109">
        <f>=EDATE(C430,D430)</f>
        <v>46484</v>
      </c>
      <c r="L430" s="167" t="s"/>
      <c r="M430" s="128" t="s"/>
      <c r="N430" s="168" t="s"/>
      <c r="O430" s="168" t="s"/>
      <c r="P430" s="168" t="s"/>
      <c r="Q430" s="171" t="s">
        <v>791</v>
      </c>
      <c r="R430" s="199" t="s"/>
      <c r="S430" s="199" t="s"/>
      <c r="T430" s="199" t="s"/>
      <c r="U430" s="199" t="s"/>
      <c r="V430" s="199" t="s"/>
      <c r="W430" s="199" t="s"/>
      <c r="X430" s="199" t="s"/>
      <c r="Y430" s="199" t="s"/>
      <c r="Z430" s="200" t="s"/>
      <c r="AA430" s="200" t="s"/>
      <c r="AB430" s="200" t="s"/>
      <c r="AC430" s="200" t="s"/>
      <c r="AD430" s="200" t="s"/>
      <c r="AE430" s="200" t="s"/>
      <c r="AF430" s="200" t="s"/>
      <c r="AG430" s="200" t="s"/>
      <c r="AH430" s="200" t="s"/>
      <c r="AI430" s="200" t="s"/>
      <c r="AJ430" s="200" t="s"/>
      <c r="AK430" s="200" t="s"/>
      <c r="AL430" s="200" t="s"/>
      <c r="AM430" s="200" t="s"/>
    </row>
    <row r="431" spans="1:39" s="426" customFormat="true">
      <c r="A431" s="219">
        <v>430</v>
      </c>
      <c r="B431" s="220" t="s">
        <v>476</v>
      </c>
      <c r="C431" s="221">
        <v>46119.6971296296</v>
      </c>
      <c r="D431" s="222">
        <v>12</v>
      </c>
      <c r="E431" s="223">
        <v>46119</v>
      </c>
      <c r="F431" s="219" t="s">
        <v>239</v>
      </c>
      <c r="G431" s="222" t="s">
        <v>1511</v>
      </c>
      <c r="H431" s="224" t="s">
        <v>607</v>
      </c>
      <c r="I431" s="220" t="s">
        <v>609</v>
      </c>
      <c r="J431" s="97" t="s">
        <f>=_xlfn.TEXTJOIN("+",TRUE,_xlfn._xlws.FILTER(_xlfn.TEXTSPLIT(H431,,"+"),(_xlfn.TEXTSPLIT(H431,,"+")&lt;&gt;"埃米工具")*(_xlfn.TEXTSPLIT(H431,,"+")&lt;&gt;"埃米广告通")))</f>
        <v>607</v>
      </c>
      <c r="K431" s="225">
        <f>=EDATE(C431,D431)</f>
        <v>46484</v>
      </c>
      <c r="L431" s="222" t="s"/>
      <c r="M431" s="128" t="s"/>
      <c r="N431" s="226" t="s"/>
      <c r="O431" s="168" t="s">
        <v>1496</v>
      </c>
      <c r="P431" s="226" t="s"/>
      <c r="Q431" s="227" t="s"/>
      <c r="R431" s="228" t="s"/>
      <c r="S431" s="228" t="s"/>
      <c r="T431" s="228" t="s"/>
      <c r="U431" s="228" t="s"/>
      <c r="V431" s="228" t="s"/>
      <c r="W431" s="228" t="s"/>
      <c r="X431" s="228" t="s"/>
      <c r="Y431" s="228" t="s"/>
      <c r="Z431" s="229" t="s"/>
      <c r="AA431" s="229" t="s"/>
      <c r="AB431" s="229" t="s"/>
      <c r="AC431" s="229" t="s"/>
      <c r="AD431" s="229" t="s"/>
      <c r="AE431" s="229" t="s"/>
      <c r="AF431" s="229" t="s"/>
      <c r="AG431" s="229" t="s"/>
      <c r="AH431" s="229" t="s"/>
      <c r="AI431" s="229" t="s"/>
      <c r="AJ431" s="229" t="s"/>
      <c r="AK431" s="229" t="s"/>
      <c r="AL431" s="229" t="s"/>
      <c r="AM431" s="229" t="s"/>
    </row>
    <row r="432" spans="1:39" s="431" customFormat="true">
      <c r="A432" s="97">
        <v>431</v>
      </c>
      <c r="B432" s="204" t="s">
        <v>474</v>
      </c>
      <c r="C432" s="162">
        <v>46119.7178009259</v>
      </c>
      <c r="D432" s="167">
        <v>24</v>
      </c>
      <c r="E432" s="120">
        <v>46120</v>
      </c>
      <c r="F432" s="167" t="s">
        <v>239</v>
      </c>
      <c r="G432" s="167" t="s">
        <v>1512</v>
      </c>
      <c r="H432" s="96" t="s">
        <v>607</v>
      </c>
      <c r="I432" s="187" t="s">
        <v>609</v>
      </c>
      <c r="J432" s="97" t="s">
        <f>=_xlfn.TEXTJOIN("+",TRUE,_xlfn._xlws.FILTER(_xlfn.TEXTSPLIT(H432,,"+"),(_xlfn.TEXTSPLIT(H432,,"+")&lt;&gt;"埃米工具")*(_xlfn.TEXTSPLIT(H432,,"+")&lt;&gt;"埃米广告通")))</f>
        <v>607</v>
      </c>
      <c r="K432" s="109">
        <f>=EDATE(C432,D432)</f>
        <v>46850</v>
      </c>
      <c r="L432" s="167" t="s"/>
      <c r="M432" s="128" t="s"/>
      <c r="N432" s="168" t="s"/>
      <c r="O432" s="168" t="s">
        <v>1496</v>
      </c>
      <c r="P432" s="168" t="s"/>
      <c r="Q432" s="171" t="s"/>
      <c r="R432" s="199" t="s"/>
      <c r="S432" s="199" t="s"/>
      <c r="T432" s="199" t="s"/>
      <c r="U432" s="199" t="s"/>
      <c r="V432" s="199" t="s"/>
      <c r="W432" s="199" t="s"/>
      <c r="X432" s="199" t="s"/>
      <c r="Y432" s="199" t="s"/>
      <c r="Z432" s="200" t="s"/>
      <c r="AA432" s="200" t="s"/>
      <c r="AB432" s="200" t="s"/>
      <c r="AC432" s="200" t="s"/>
      <c r="AD432" s="200" t="s"/>
      <c r="AE432" s="200" t="s"/>
      <c r="AF432" s="200" t="s"/>
      <c r="AG432" s="200" t="s"/>
      <c r="AH432" s="200" t="s"/>
      <c r="AI432" s="200" t="s"/>
      <c r="AJ432" s="200" t="s"/>
      <c r="AK432" s="200" t="s"/>
      <c r="AL432" s="200" t="s"/>
      <c r="AM432" s="200" t="s"/>
    </row>
    <row r="433" spans="1:39" s="431" customFormat="true">
      <c r="A433" s="97">
        <v>432</v>
      </c>
      <c r="B433" s="187" t="s">
        <v>1513</v>
      </c>
      <c r="C433" s="162">
        <v>46119.7227430556</v>
      </c>
      <c r="D433" s="167">
        <v>12</v>
      </c>
      <c r="E433" s="120">
        <v>46120</v>
      </c>
      <c r="F433" s="152" t="s">
        <v>277</v>
      </c>
      <c r="G433" s="167" t="s">
        <v>1514</v>
      </c>
      <c r="H433" s="96" t="s">
        <v>607</v>
      </c>
      <c r="I433" s="187" t="s">
        <v>609</v>
      </c>
      <c r="J433" s="97" t="s">
        <f>=_xlfn.TEXTJOIN("+",TRUE,_xlfn._xlws.FILTER(_xlfn.TEXTSPLIT(H433,,"+"),(_xlfn.TEXTSPLIT(H433,,"+")&lt;&gt;"埃米工具")*(_xlfn.TEXTSPLIT(H433,,"+")&lt;&gt;"埃米广告通")))</f>
        <v>607</v>
      </c>
      <c r="K433" s="109">
        <f>=EDATE(C433,D433)</f>
        <v>46484</v>
      </c>
      <c r="L433" s="167" t="s">
        <v>1387</v>
      </c>
      <c r="M433" s="168" t="s">
        <v>1387</v>
      </c>
      <c r="N433" s="168" t="s"/>
      <c r="O433" s="168" t="s"/>
      <c r="P433" s="168" t="s">
        <v>1515</v>
      </c>
      <c r="Q433" s="171" t="s">
        <v>791</v>
      </c>
      <c r="R433" s="199" t="s"/>
      <c r="S433" s="199" t="s"/>
      <c r="T433" s="199" t="s"/>
      <c r="U433" s="199" t="s"/>
      <c r="V433" s="199" t="s"/>
      <c r="W433" s="199" t="s"/>
      <c r="X433" s="199" t="s"/>
      <c r="Y433" s="199" t="s"/>
      <c r="Z433" s="200" t="s"/>
      <c r="AA433" s="200" t="s"/>
      <c r="AB433" s="200" t="s"/>
      <c r="AC433" s="200" t="s"/>
      <c r="AD433" s="200" t="s"/>
      <c r="AE433" s="200" t="s"/>
      <c r="AF433" s="200" t="s"/>
      <c r="AG433" s="200" t="s"/>
      <c r="AH433" s="200" t="s"/>
      <c r="AI433" s="200" t="s"/>
      <c r="AJ433" s="200" t="s"/>
      <c r="AK433" s="200" t="s"/>
      <c r="AL433" s="200" t="s"/>
      <c r="AM433" s="200" t="s"/>
    </row>
    <row r="434" spans="1:39" s="431" customFormat="true">
      <c r="A434" s="97">
        <v>433</v>
      </c>
      <c r="B434" s="187" t="s">
        <v>503</v>
      </c>
      <c r="C434" s="162">
        <v>46119.7228356482</v>
      </c>
      <c r="D434" s="167">
        <v>12</v>
      </c>
      <c r="E434" s="120">
        <v>46120</v>
      </c>
      <c r="F434" s="167" t="s">
        <v>228</v>
      </c>
      <c r="G434" s="167" t="s">
        <v>1516</v>
      </c>
      <c r="H434" s="96" t="s">
        <v>607</v>
      </c>
      <c r="I434" s="187" t="s">
        <v>609</v>
      </c>
      <c r="J434" s="97" t="s">
        <f>=_xlfn.TEXTJOIN("+",TRUE,_xlfn._xlws.FILTER(_xlfn.TEXTSPLIT(H434,,"+"),(_xlfn.TEXTSPLIT(H434,,"+")&lt;&gt;"埃米工具")*(_xlfn.TEXTSPLIT(H434,,"+")&lt;&gt;"埃米广告通")))</f>
        <v>607</v>
      </c>
      <c r="K434" s="109">
        <f>=EDATE(C434,D434)</f>
        <v>46484</v>
      </c>
      <c r="L434" s="167" t="s"/>
      <c r="M434" s="128" t="s"/>
      <c r="N434" s="96" t="s">
        <v>611</v>
      </c>
      <c r="O434" s="168" t="s">
        <v>1320</v>
      </c>
      <c r="P434" s="168" t="s"/>
      <c r="Q434" s="171" t="s"/>
      <c r="R434" s="199" t="s"/>
      <c r="S434" s="199" t="s"/>
      <c r="T434" s="199" t="s"/>
      <c r="U434" s="199" t="s"/>
      <c r="V434" s="199" t="s"/>
      <c r="W434" s="199" t="s"/>
      <c r="X434" s="199" t="s"/>
      <c r="Y434" s="199" t="s"/>
      <c r="Z434" s="200" t="s"/>
      <c r="AA434" s="200" t="s"/>
      <c r="AB434" s="200" t="s"/>
      <c r="AC434" s="200" t="s"/>
      <c r="AD434" s="200" t="s"/>
      <c r="AE434" s="200" t="s"/>
      <c r="AF434" s="200" t="s"/>
      <c r="AG434" s="200" t="s"/>
      <c r="AH434" s="200" t="s"/>
      <c r="AI434" s="200" t="s"/>
      <c r="AJ434" s="200" t="s"/>
      <c r="AK434" s="200" t="s"/>
      <c r="AL434" s="200" t="s"/>
      <c r="AM434" s="200" t="s"/>
    </row>
    <row r="435" spans="1:39" s="431" customFormat="true">
      <c r="A435" s="97">
        <v>434</v>
      </c>
      <c r="B435" s="187" t="s">
        <v>207</v>
      </c>
      <c r="C435" s="162">
        <v>46119.7485069444</v>
      </c>
      <c r="D435" s="187">
        <v>12</v>
      </c>
      <c r="E435" s="120">
        <v>46120</v>
      </c>
      <c r="F435" s="204" t="s">
        <v>239</v>
      </c>
      <c r="G435" s="167" t="s">
        <v>1517</v>
      </c>
      <c r="H435" s="96" t="s">
        <v>606</v>
      </c>
      <c r="I435" s="187" t="s">
        <v>609</v>
      </c>
      <c r="J435" s="97" t="s">
        <f>=_xlfn.TEXTJOIN("+",TRUE,_xlfn._xlws.FILTER(_xlfn.TEXTSPLIT(H435,,"+"),(_xlfn.TEXTSPLIT(H435,,"+")&lt;&gt;"埃米工具")*(_xlfn.TEXTSPLIT(H435,,"+")&lt;&gt;"埃米广告通")))</f>
        <v>15</v>
      </c>
      <c r="K435" s="109">
        <f>=EDATE(C435,D435)</f>
        <v>46484</v>
      </c>
      <c r="L435" s="218">
        <v>46121</v>
      </c>
      <c r="M435" s="128" t="s">
        <v>1518</v>
      </c>
      <c r="N435" s="168" t="s"/>
      <c r="O435" s="168" t="s">
        <v>1496</v>
      </c>
      <c r="P435" s="168" t="s"/>
      <c r="Q435" s="171" t="s"/>
      <c r="R435" s="199" t="s"/>
      <c r="S435" s="199" t="s"/>
      <c r="T435" s="199" t="s"/>
      <c r="U435" s="199" t="s"/>
      <c r="V435" s="199" t="s"/>
      <c r="W435" s="199" t="s"/>
      <c r="X435" s="199" t="s"/>
      <c r="Y435" s="199" t="s"/>
      <c r="Z435" s="200" t="s"/>
      <c r="AA435" s="200" t="s"/>
      <c r="AB435" s="200" t="s"/>
      <c r="AC435" s="200" t="s"/>
      <c r="AD435" s="200" t="s"/>
      <c r="AE435" s="200" t="s"/>
      <c r="AF435" s="200" t="s"/>
      <c r="AG435" s="200" t="s"/>
      <c r="AH435" s="200" t="s"/>
      <c r="AI435" s="200" t="s"/>
      <c r="AJ435" s="200" t="s"/>
      <c r="AK435" s="200" t="s"/>
      <c r="AL435" s="200" t="s"/>
      <c r="AM435" s="200" t="s"/>
    </row>
    <row r="436" spans="1:39" s="431" customFormat="true">
      <c r="A436" s="98">
        <v>435</v>
      </c>
      <c r="B436" s="166" t="s">
        <v>487</v>
      </c>
      <c r="C436" s="162">
        <v>46120.5716087962</v>
      </c>
      <c r="D436" s="167">
        <v>12</v>
      </c>
      <c r="E436" s="120">
        <v>46120</v>
      </c>
      <c r="F436" s="204" t="s">
        <v>239</v>
      </c>
      <c r="G436" s="97" t="s">
        <v>1519</v>
      </c>
      <c r="H436" s="96" t="s">
        <v>12</v>
      </c>
      <c r="I436" s="166" t="s">
        <v>609</v>
      </c>
      <c r="J436" s="97" t="s">
        <f>=_xlfn.TEXTJOIN("+",TRUE,_xlfn._xlws.FILTER(_xlfn.TEXTSPLIT(H436,,"+"),(_xlfn.TEXTSPLIT(H436,,"+")&lt;&gt;"埃米工具")*(_xlfn.TEXTSPLIT(H436,,"+")&lt;&gt;"埃米广告通")))</f>
        <v>12</v>
      </c>
      <c r="K436" s="109">
        <f>=EDATE(C436,D436)</f>
        <v>46485</v>
      </c>
      <c r="L436" s="191">
        <v>46120</v>
      </c>
      <c r="M436" s="168" t="s">
        <v>1520</v>
      </c>
      <c r="N436" s="168" t="s"/>
      <c r="O436" s="168" t="s"/>
      <c r="P436" s="168" t="s"/>
      <c r="Q436" s="171" t="s"/>
      <c r="R436" s="199" t="s"/>
      <c r="S436" s="199" t="s"/>
      <c r="T436" s="199" t="s"/>
      <c r="U436" s="199" t="s"/>
      <c r="V436" s="199" t="s"/>
      <c r="W436" s="199" t="s"/>
      <c r="X436" s="199" t="s"/>
      <c r="Y436" s="199" t="s"/>
      <c r="Z436" s="200" t="s"/>
      <c r="AA436" s="200" t="s"/>
      <c r="AB436" s="200" t="s"/>
      <c r="AC436" s="200" t="s"/>
      <c r="AD436" s="200" t="s"/>
      <c r="AE436" s="200" t="s"/>
      <c r="AF436" s="200" t="s"/>
      <c r="AG436" s="200" t="s"/>
      <c r="AH436" s="200" t="s"/>
      <c r="AI436" s="200" t="s"/>
      <c r="AJ436" s="200" t="s"/>
      <c r="AK436" s="200" t="s"/>
      <c r="AL436" s="200" t="s"/>
      <c r="AM436" s="200" t="s"/>
    </row>
    <row r="437" spans="1:39" s="431" customFormat="true">
      <c r="A437" s="97">
        <v>436</v>
      </c>
      <c r="B437" s="166" t="s">
        <v>1521</v>
      </c>
      <c r="C437" s="162">
        <v>46120.5813194445</v>
      </c>
      <c r="D437" s="167">
        <v>12</v>
      </c>
      <c r="E437" s="120">
        <v>46120</v>
      </c>
      <c r="F437" s="168" t="s">
        <v>277</v>
      </c>
      <c r="G437" s="168" t="s">
        <v>1522</v>
      </c>
      <c r="H437" s="96" t="s">
        <v>607</v>
      </c>
      <c r="I437" s="166" t="s">
        <v>726</v>
      </c>
      <c r="J437" s="97" t="s">
        <f>=_xlfn.TEXTJOIN("+",TRUE,_xlfn._xlws.FILTER(_xlfn.TEXTSPLIT(H437,,"+"),(_xlfn.TEXTSPLIT(H437,,"+")&lt;&gt;"埃米工具")*(_xlfn.TEXTSPLIT(H437,,"+")&lt;&gt;"埃米广告通")))</f>
        <v>607</v>
      </c>
      <c r="K437" s="109">
        <f>=EDATE(C437,D437)</f>
        <v>46485</v>
      </c>
      <c r="L437" s="167" t="s">
        <v>1387</v>
      </c>
      <c r="M437" s="168" t="s">
        <v>1387</v>
      </c>
      <c r="N437" s="168" t="s"/>
      <c r="O437" s="168" t="s"/>
      <c r="P437" s="168" t="s"/>
      <c r="Q437" s="171" t="s"/>
      <c r="R437" s="199" t="s"/>
      <c r="S437" s="199" t="s"/>
      <c r="T437" s="199" t="s"/>
      <c r="U437" s="199" t="s"/>
      <c r="V437" s="199" t="s"/>
      <c r="W437" s="199" t="s"/>
      <c r="X437" s="199" t="s"/>
      <c r="Y437" s="199" t="s"/>
      <c r="Z437" s="200" t="s"/>
      <c r="AA437" s="200" t="s"/>
      <c r="AB437" s="200" t="s"/>
      <c r="AC437" s="200" t="s"/>
      <c r="AD437" s="200" t="s"/>
      <c r="AE437" s="200" t="s"/>
      <c r="AF437" s="200" t="s"/>
      <c r="AG437" s="200" t="s"/>
      <c r="AH437" s="200" t="s"/>
      <c r="AI437" s="200" t="s"/>
      <c r="AJ437" s="200" t="s"/>
      <c r="AK437" s="200" t="s"/>
      <c r="AL437" s="200" t="s"/>
      <c r="AM437" s="200" t="s"/>
    </row>
    <row r="438" spans="1:39" s="431" customFormat="true">
      <c r="A438" s="97">
        <v>437</v>
      </c>
      <c r="B438" s="230" t="s">
        <v>485</v>
      </c>
      <c r="C438" s="162">
        <v>46120.595625</v>
      </c>
      <c r="D438" s="167" t="s"/>
      <c r="E438" s="120">
        <v>46120</v>
      </c>
      <c r="F438" s="204" t="s">
        <v>239</v>
      </c>
      <c r="G438" s="168" t="s">
        <v>1523</v>
      </c>
      <c r="H438" s="96" t="s">
        <v>607</v>
      </c>
      <c r="I438" s="166" t="s">
        <v>609</v>
      </c>
      <c r="J438" s="97" t="s">
        <f>=_xlfn.TEXTJOIN("+",TRUE,_xlfn._xlws.FILTER(_xlfn.TEXTSPLIT(H438,,"+"),(_xlfn.TEXTSPLIT(H438,,"+")&lt;&gt;"埃米工具")*(_xlfn.TEXTSPLIT(H438,,"+")&lt;&gt;"埃米广告通")))</f>
        <v>607</v>
      </c>
      <c r="K438" s="109">
        <f>=EDATE(C438,D438)</f>
        <v>46120</v>
      </c>
      <c r="L438" s="168" t="s"/>
      <c r="M438" s="168" t="s"/>
      <c r="N438" s="168" t="s"/>
      <c r="O438" s="168" t="s"/>
      <c r="P438" s="168" t="s"/>
      <c r="Q438" s="171" t="s"/>
      <c r="R438" s="199" t="s"/>
      <c r="S438" s="199" t="s"/>
      <c r="T438" s="199" t="s"/>
      <c r="U438" s="199" t="s"/>
      <c r="V438" s="199" t="s"/>
      <c r="W438" s="199" t="s"/>
      <c r="X438" s="199" t="s"/>
      <c r="Y438" s="199" t="s"/>
      <c r="Z438" s="200" t="s"/>
      <c r="AA438" s="200" t="s"/>
      <c r="AB438" s="200" t="s"/>
      <c r="AC438" s="200" t="s"/>
      <c r="AD438" s="200" t="s"/>
      <c r="AE438" s="200" t="s"/>
      <c r="AF438" s="200" t="s"/>
      <c r="AG438" s="200" t="s"/>
      <c r="AH438" s="200" t="s"/>
      <c r="AI438" s="200" t="s"/>
      <c r="AJ438" s="200" t="s"/>
      <c r="AK438" s="200" t="s"/>
      <c r="AL438" s="200" t="s"/>
      <c r="AM438" s="200" t="s"/>
    </row>
    <row r="439" spans="1:39" s="431" customFormat="true">
      <c r="A439" s="97">
        <v>438</v>
      </c>
      <c r="B439" s="166" t="s">
        <v>498</v>
      </c>
      <c r="C439" s="162">
        <v>46120.7001967593</v>
      </c>
      <c r="D439" s="167">
        <v>12</v>
      </c>
      <c r="E439" s="120">
        <v>46120</v>
      </c>
      <c r="F439" s="204" t="s">
        <v>239</v>
      </c>
      <c r="G439" s="168" t="s">
        <v>1524</v>
      </c>
      <c r="H439" s="96" t="s">
        <v>607</v>
      </c>
      <c r="I439" s="166" t="s">
        <v>609</v>
      </c>
      <c r="J439" s="97" t="s">
        <f>=_xlfn.TEXTJOIN("+",TRUE,_xlfn._xlws.FILTER(_xlfn.TEXTSPLIT(H439,,"+"),(_xlfn.TEXTSPLIT(H439,,"+")&lt;&gt;"埃米工具")*(_xlfn.TEXTSPLIT(H439,,"+")&lt;&gt;"埃米广告通")))</f>
        <v>607</v>
      </c>
      <c r="K439" s="109">
        <f>=EDATE(C439,D439)</f>
        <v>46485</v>
      </c>
      <c r="L439" s="168" t="s"/>
      <c r="M439" s="168" t="s"/>
      <c r="N439" s="168" t="s"/>
      <c r="O439" s="168" t="s"/>
      <c r="P439" s="168" t="s"/>
      <c r="Q439" s="171" t="s"/>
      <c r="R439" s="199" t="s"/>
      <c r="S439" s="199" t="s"/>
      <c r="T439" s="199" t="s"/>
      <c r="U439" s="199" t="s"/>
      <c r="V439" s="199" t="s"/>
      <c r="W439" s="199" t="s"/>
      <c r="X439" s="199" t="s"/>
      <c r="Y439" s="199" t="s"/>
      <c r="Z439" s="200" t="s"/>
      <c r="AA439" s="200" t="s"/>
      <c r="AB439" s="200" t="s"/>
      <c r="AC439" s="200" t="s"/>
      <c r="AD439" s="200" t="s"/>
      <c r="AE439" s="200" t="s"/>
      <c r="AF439" s="200" t="s"/>
      <c r="AG439" s="200" t="s"/>
      <c r="AH439" s="200" t="s"/>
      <c r="AI439" s="200" t="s"/>
      <c r="AJ439" s="200" t="s"/>
      <c r="AK439" s="200" t="s"/>
      <c r="AL439" s="200" t="s"/>
      <c r="AM439" s="200" t="s"/>
    </row>
    <row r="440" spans="1:39" s="431" customFormat="true">
      <c r="A440" s="97">
        <v>439</v>
      </c>
      <c r="B440" s="166" t="s">
        <v>1525</v>
      </c>
      <c r="C440" s="162">
        <v>46120.7405671296</v>
      </c>
      <c r="D440" s="167">
        <v>12</v>
      </c>
      <c r="E440" s="120">
        <v>46121</v>
      </c>
      <c r="F440" s="204" t="s">
        <v>239</v>
      </c>
      <c r="G440" s="168" t="s">
        <v>1526</v>
      </c>
      <c r="H440" s="96" t="s">
        <v>607</v>
      </c>
      <c r="I440" s="166" t="s">
        <v>609</v>
      </c>
      <c r="J440" s="97" t="s">
        <f>=_xlfn.TEXTJOIN("+",TRUE,_xlfn._xlws.FILTER(_xlfn.TEXTSPLIT(H440,,"+"),(_xlfn.TEXTSPLIT(H440,,"+")&lt;&gt;"埃米工具")*(_xlfn.TEXTSPLIT(H440,,"+")&lt;&gt;"埃米广告通")))</f>
        <v>607</v>
      </c>
      <c r="K440" s="109">
        <f>=EDATE(C440,D440)</f>
        <v>46485</v>
      </c>
      <c r="L440" s="168" t="s"/>
      <c r="M440" s="168" t="s"/>
      <c r="N440" s="168" t="s"/>
      <c r="O440" s="168" t="s"/>
      <c r="P440" s="168" t="s"/>
      <c r="Q440" s="196" t="s">
        <v>791</v>
      </c>
      <c r="R440" s="199" t="s"/>
      <c r="S440" s="199" t="s"/>
      <c r="T440" s="199" t="s"/>
      <c r="U440" s="199" t="s"/>
      <c r="V440" s="199" t="s"/>
      <c r="W440" s="199" t="s"/>
      <c r="X440" s="199" t="s"/>
      <c r="Y440" s="199" t="s"/>
      <c r="Z440" s="200" t="s"/>
      <c r="AA440" s="200" t="s"/>
      <c r="AB440" s="200" t="s"/>
      <c r="AC440" s="200" t="s"/>
      <c r="AD440" s="200" t="s"/>
      <c r="AE440" s="200" t="s"/>
      <c r="AF440" s="200" t="s"/>
      <c r="AG440" s="200" t="s"/>
      <c r="AH440" s="200" t="s"/>
      <c r="AI440" s="200" t="s"/>
      <c r="AJ440" s="200" t="s"/>
      <c r="AK440" s="200" t="s"/>
      <c r="AL440" s="200" t="s"/>
      <c r="AM440" s="200" t="s"/>
    </row>
    <row r="441" spans="1:39" s="431" customFormat="true">
      <c r="A441" s="97">
        <v>440</v>
      </c>
      <c r="B441" s="166" t="s">
        <v>1527</v>
      </c>
      <c r="C441" s="162">
        <v>46120.7524652778</v>
      </c>
      <c r="D441" s="167">
        <v>12</v>
      </c>
      <c r="E441" s="120">
        <v>46121</v>
      </c>
      <c r="F441" s="168" t="s">
        <v>277</v>
      </c>
      <c r="G441" s="168" t="s">
        <v>1528</v>
      </c>
      <c r="H441" s="96" t="s">
        <v>607</v>
      </c>
      <c r="I441" s="166" t="s">
        <v>609</v>
      </c>
      <c r="J441" s="97" t="s">
        <f>=_xlfn.TEXTJOIN("+",TRUE,_xlfn._xlws.FILTER(_xlfn.TEXTSPLIT(H441,,"+"),(_xlfn.TEXTSPLIT(H441,,"+")&lt;&gt;"埃米工具")*(_xlfn.TEXTSPLIT(H441,,"+")&lt;&gt;"埃米广告通")))</f>
        <v>607</v>
      </c>
      <c r="K441" s="109">
        <f>=EDATE(C441,D441)</f>
        <v>46485</v>
      </c>
      <c r="L441" s="168" t="s">
        <v>1387</v>
      </c>
      <c r="M441" s="168" t="s"/>
      <c r="N441" s="168" t="s"/>
      <c r="O441" s="168" t="s">
        <v>1529</v>
      </c>
      <c r="P441" s="168" t="s"/>
      <c r="Q441" s="196" t="s"/>
      <c r="R441" s="199" t="s"/>
      <c r="S441" s="199" t="s"/>
      <c r="T441" s="199" t="s"/>
      <c r="U441" s="199" t="s"/>
      <c r="V441" s="199" t="s"/>
      <c r="W441" s="199" t="s"/>
      <c r="X441" s="199" t="s"/>
      <c r="Y441" s="199" t="s"/>
      <c r="Z441" s="200" t="s"/>
      <c r="AA441" s="200" t="s"/>
      <c r="AB441" s="200" t="s"/>
      <c r="AC441" s="200" t="s"/>
      <c r="AD441" s="200" t="s"/>
      <c r="AE441" s="200" t="s"/>
      <c r="AF441" s="200" t="s"/>
      <c r="AG441" s="200" t="s"/>
      <c r="AH441" s="200" t="s"/>
      <c r="AI441" s="200" t="s"/>
      <c r="AJ441" s="200" t="s"/>
      <c r="AK441" s="200" t="s"/>
      <c r="AL441" s="200" t="s"/>
      <c r="AM441" s="200" t="s"/>
    </row>
    <row r="442" spans="1:39" s="431" customFormat="true">
      <c r="A442" s="97">
        <v>441</v>
      </c>
      <c r="B442" s="166" t="s">
        <v>1530</v>
      </c>
      <c r="C442" s="202">
        <v>46112.6835416667</v>
      </c>
      <c r="D442" s="167">
        <v>12</v>
      </c>
      <c r="E442" s="120">
        <v>46121</v>
      </c>
      <c r="F442" s="168" t="s">
        <v>228</v>
      </c>
      <c r="G442" s="170" t="s">
        <v>1531</v>
      </c>
      <c r="H442" s="96" t="s">
        <v>12</v>
      </c>
      <c r="I442" s="166" t="s">
        <v>609</v>
      </c>
      <c r="J442" s="97" t="s">
        <f>=_xlfn.TEXTJOIN("+",TRUE,_xlfn._xlws.FILTER(_xlfn.TEXTSPLIT(H442,,"+"),(_xlfn.TEXTSPLIT(H442,,"+")&lt;&gt;"埃米工具")*(_xlfn.TEXTSPLIT(H442,,"+")&lt;&gt;"埃米广告通")))</f>
        <v>12</v>
      </c>
      <c r="K442" s="109">
        <f>=EDATE(C442,D442)</f>
        <v>46477</v>
      </c>
      <c r="L442" s="168" t="s"/>
      <c r="M442" s="128" t="s"/>
      <c r="N442" s="168" t="s"/>
      <c r="O442" s="196" t="s">
        <v>791</v>
      </c>
      <c r="P442" s="168" t="s"/>
      <c r="Q442" s="196" t="s">
        <v>791</v>
      </c>
      <c r="R442" s="199" t="s"/>
      <c r="S442" s="199" t="s"/>
      <c r="T442" s="199" t="s"/>
      <c r="U442" s="199" t="s"/>
      <c r="V442" s="199" t="s"/>
      <c r="W442" s="199" t="s"/>
      <c r="X442" s="199" t="s"/>
      <c r="Y442" s="199" t="s"/>
      <c r="Z442" s="200" t="s"/>
      <c r="AA442" s="200" t="s"/>
      <c r="AB442" s="200" t="s"/>
      <c r="AC442" s="200" t="s"/>
      <c r="AD442" s="200" t="s"/>
      <c r="AE442" s="200" t="s"/>
      <c r="AF442" s="200" t="s"/>
      <c r="AG442" s="200" t="s"/>
      <c r="AH442" s="200" t="s"/>
      <c r="AI442" s="200" t="s"/>
      <c r="AJ442" s="200" t="s"/>
      <c r="AK442" s="200" t="s"/>
      <c r="AL442" s="200" t="s"/>
      <c r="AM442" s="200" t="s"/>
    </row>
    <row r="443" spans="1:39" s="431" customFormat="true">
      <c r="A443" s="97">
        <v>442</v>
      </c>
      <c r="B443" s="166" t="s">
        <v>1532</v>
      </c>
      <c r="C443" s="162">
        <v>46121.5981828704</v>
      </c>
      <c r="D443" s="167">
        <v>12</v>
      </c>
      <c r="E443" s="120">
        <v>46121</v>
      </c>
      <c r="F443" s="168" t="s">
        <v>239</v>
      </c>
      <c r="G443" s="168" t="s">
        <v>1533</v>
      </c>
      <c r="H443" s="96" t="s">
        <v>12</v>
      </c>
      <c r="I443" s="166" t="s">
        <v>609</v>
      </c>
      <c r="J443" s="97" t="s">
        <f>=_xlfn.TEXTJOIN("+",TRUE,_xlfn._xlws.FILTER(_xlfn.TEXTSPLIT(H443,,"+"),(_xlfn.TEXTSPLIT(H443,,"+")&lt;&gt;"埃米工具")*(_xlfn.TEXTSPLIT(H443,,"+")&lt;&gt;"埃米广告通")))</f>
        <v>12</v>
      </c>
      <c r="K443" s="109">
        <f>=EDATE(C443,D443)</f>
        <v>46486</v>
      </c>
      <c r="L443" s="193">
        <v>46122</v>
      </c>
      <c r="M443" s="128" t="s">
        <v>1534</v>
      </c>
      <c r="N443" s="168" t="s"/>
      <c r="O443" s="168" t="s"/>
      <c r="P443" s="168" t="s"/>
      <c r="Q443" s="171" t="s"/>
      <c r="R443" s="199" t="s"/>
      <c r="S443" s="199" t="s"/>
      <c r="T443" s="199" t="s"/>
      <c r="U443" s="199" t="s"/>
      <c r="V443" s="199" t="s"/>
      <c r="W443" s="199" t="s"/>
      <c r="X443" s="199" t="s"/>
      <c r="Y443" s="199" t="s"/>
      <c r="Z443" s="200" t="s"/>
      <c r="AA443" s="200" t="s"/>
      <c r="AB443" s="200" t="s"/>
      <c r="AC443" s="200" t="s"/>
      <c r="AD443" s="200" t="s"/>
      <c r="AE443" s="200" t="s"/>
      <c r="AF443" s="200" t="s"/>
      <c r="AG443" s="200" t="s"/>
      <c r="AH443" s="200" t="s"/>
      <c r="AI443" s="200" t="s"/>
      <c r="AJ443" s="200" t="s"/>
      <c r="AK443" s="200" t="s"/>
      <c r="AL443" s="200" t="s"/>
      <c r="AM443" s="200" t="s"/>
    </row>
    <row r="444" spans="1:39" s="431" customFormat="true">
      <c r="A444" s="97">
        <v>443</v>
      </c>
      <c r="B444" s="166" t="s">
        <v>515</v>
      </c>
      <c r="C444" s="162">
        <v>46121.7005555556</v>
      </c>
      <c r="D444" s="167">
        <v>12</v>
      </c>
      <c r="E444" s="120">
        <v>46122</v>
      </c>
      <c r="F444" s="168" t="s">
        <v>245</v>
      </c>
      <c r="G444" s="168" t="s">
        <v>1535</v>
      </c>
      <c r="H444" s="96" t="s">
        <v>607</v>
      </c>
      <c r="I444" s="166" t="s">
        <v>609</v>
      </c>
      <c r="J444" s="97" t="s">
        <f>=_xlfn.TEXTJOIN("+",TRUE,_xlfn._xlws.FILTER(_xlfn.TEXTSPLIT(H444,,"+"),(_xlfn.TEXTSPLIT(H444,,"+")&lt;&gt;"埃米工具")*(_xlfn.TEXTSPLIT(H444,,"+")&lt;&gt;"埃米广告通")))</f>
        <v>607</v>
      </c>
      <c r="K444" s="109">
        <f>=EDATE(C444,D444)</f>
        <v>46486</v>
      </c>
      <c r="L444" s="168" t="s"/>
      <c r="M444" s="168" t="s"/>
      <c r="N444" s="168" t="s"/>
      <c r="O444" s="168" t="s"/>
      <c r="P444" s="168" t="s"/>
      <c r="Q444" s="196" t="s"/>
      <c r="R444" s="199" t="s"/>
      <c r="S444" s="199" t="s"/>
      <c r="T444" s="199" t="s"/>
      <c r="U444" s="199" t="s"/>
      <c r="V444" s="199" t="s"/>
      <c r="W444" s="199" t="s"/>
      <c r="X444" s="199" t="s"/>
      <c r="Y444" s="199" t="s"/>
      <c r="Z444" s="200" t="s"/>
      <c r="AA444" s="200" t="s"/>
      <c r="AB444" s="200" t="s"/>
      <c r="AC444" s="200" t="s"/>
      <c r="AD444" s="200" t="s"/>
      <c r="AE444" s="200" t="s"/>
      <c r="AF444" s="200" t="s"/>
      <c r="AG444" s="200" t="s"/>
      <c r="AH444" s="200" t="s"/>
      <c r="AI444" s="200" t="s"/>
      <c r="AJ444" s="200" t="s"/>
      <c r="AK444" s="200" t="s"/>
      <c r="AL444" s="200" t="s"/>
      <c r="AM444" s="200" t="s"/>
    </row>
    <row r="445" spans="1:39" s="431" customFormat="true">
      <c r="A445" s="97">
        <v>444</v>
      </c>
      <c r="B445" s="166" t="s">
        <v>500</v>
      </c>
      <c r="C445" s="162">
        <v>46121.7019791667</v>
      </c>
      <c r="D445" s="167">
        <v>12</v>
      </c>
      <c r="E445" s="120">
        <v>46122</v>
      </c>
      <c r="F445" s="168" t="s">
        <v>239</v>
      </c>
      <c r="G445" s="168" t="s">
        <v>1536</v>
      </c>
      <c r="H445" s="96" t="s">
        <v>12</v>
      </c>
      <c r="I445" s="166" t="s">
        <v>609</v>
      </c>
      <c r="J445" s="97" t="s">
        <f>=_xlfn.TEXTJOIN("+",TRUE,_xlfn._xlws.FILTER(_xlfn.TEXTSPLIT(H445,,"+"),(_xlfn.TEXTSPLIT(H445,,"+")&lt;&gt;"埃米工具")*(_xlfn.TEXTSPLIT(H445,,"+")&lt;&gt;"埃米广告通")))</f>
        <v>12</v>
      </c>
      <c r="K445" s="109">
        <f>=EDATE(C445,D445)</f>
        <v>46486</v>
      </c>
      <c r="L445" s="193">
        <v>46122</v>
      </c>
      <c r="M445" s="128" t="s">
        <v>610</v>
      </c>
      <c r="N445" s="168" t="s"/>
      <c r="O445" s="168" t="s"/>
      <c r="P445" s="168" t="s"/>
      <c r="Q445" s="196" t="s">
        <v>845</v>
      </c>
      <c r="R445" s="199" t="s"/>
      <c r="S445" s="199" t="s"/>
      <c r="T445" s="199" t="s"/>
      <c r="U445" s="199" t="s"/>
      <c r="V445" s="199" t="s"/>
      <c r="W445" s="199" t="s"/>
      <c r="X445" s="199" t="s"/>
      <c r="Y445" s="199" t="s"/>
      <c r="Z445" s="200" t="s"/>
      <c r="AA445" s="200" t="s"/>
      <c r="AB445" s="200" t="s"/>
      <c r="AC445" s="200" t="s"/>
      <c r="AD445" s="200" t="s"/>
      <c r="AE445" s="200" t="s"/>
      <c r="AF445" s="200" t="s"/>
      <c r="AG445" s="200" t="s"/>
      <c r="AH445" s="200" t="s"/>
      <c r="AI445" s="200" t="s"/>
      <c r="AJ445" s="200" t="s"/>
      <c r="AK445" s="200" t="s"/>
      <c r="AL445" s="200" t="s"/>
      <c r="AM445" s="200" t="s"/>
    </row>
    <row r="446" spans="1:39" s="431" customFormat="true">
      <c r="A446" s="97">
        <v>445</v>
      </c>
      <c r="B446" s="166" t="s">
        <v>1537</v>
      </c>
      <c r="C446" s="162">
        <v>46121.7541203704</v>
      </c>
      <c r="D446" s="167">
        <v>12</v>
      </c>
      <c r="E446" s="120">
        <v>46122</v>
      </c>
      <c r="F446" s="168" t="s">
        <v>277</v>
      </c>
      <c r="G446" s="120" t="s">
        <v>1538</v>
      </c>
      <c r="H446" s="96" t="s">
        <v>606</v>
      </c>
      <c r="I446" s="166" t="s">
        <v>609</v>
      </c>
      <c r="J446" s="97" t="s">
        <f>=_xlfn.TEXTJOIN("+",TRUE,_xlfn._xlws.FILTER(_xlfn.TEXTSPLIT(H446,,"+"),(_xlfn.TEXTSPLIT(H446,,"+")&lt;&gt;"埃米工具")*(_xlfn.TEXTSPLIT(H446,,"+")&lt;&gt;"埃米广告通")))</f>
        <v>15</v>
      </c>
      <c r="K446" s="109">
        <f>=EDATE(C446,D446)</f>
        <v>46486</v>
      </c>
      <c r="L446" s="212">
        <v>46126</v>
      </c>
      <c r="M446" s="128" t="s">
        <v>610</v>
      </c>
      <c r="N446" s="168" t="s"/>
      <c r="O446" s="168" t="s"/>
      <c r="P446" s="168" t="s"/>
      <c r="Q446" s="196" t="s"/>
      <c r="R446" s="199" t="s"/>
      <c r="S446" s="199" t="s"/>
      <c r="T446" s="199" t="s"/>
      <c r="U446" s="199" t="s"/>
      <c r="V446" s="199" t="s"/>
      <c r="W446" s="199" t="s"/>
      <c r="X446" s="199" t="s"/>
      <c r="Y446" s="199" t="s"/>
      <c r="Z446" s="200" t="s"/>
      <c r="AA446" s="200" t="s"/>
      <c r="AB446" s="200" t="s"/>
      <c r="AC446" s="200" t="s"/>
      <c r="AD446" s="200" t="s"/>
      <c r="AE446" s="200" t="s"/>
      <c r="AF446" s="200" t="s"/>
      <c r="AG446" s="200" t="s"/>
      <c r="AH446" s="200" t="s"/>
      <c r="AI446" s="200" t="s"/>
      <c r="AJ446" s="200" t="s"/>
      <c r="AK446" s="200" t="s"/>
      <c r="AL446" s="200" t="s"/>
      <c r="AM446" s="200" t="s"/>
    </row>
    <row r="447" spans="1:39" s="431" customFormat="true">
      <c r="A447" s="97">
        <v>446</v>
      </c>
      <c r="B447" s="166" t="s">
        <v>1539</v>
      </c>
      <c r="C447" s="162">
        <v>46121.7334490741</v>
      </c>
      <c r="D447" s="167">
        <v>12</v>
      </c>
      <c r="E447" s="118">
        <v>46122</v>
      </c>
      <c r="F447" s="168" t="s">
        <v>242</v>
      </c>
      <c r="G447" s="168" t="s">
        <v>1540</v>
      </c>
      <c r="H447" s="96" t="s">
        <v>607</v>
      </c>
      <c r="I447" s="166" t="s">
        <v>646</v>
      </c>
      <c r="J447" s="97" t="s">
        <f>=_xlfn.TEXTJOIN("+",TRUE,_xlfn._xlws.FILTER(_xlfn.TEXTSPLIT(H447,,"+"),(_xlfn.TEXTSPLIT(H447,,"+")&lt;&gt;"埃米工具")*(_xlfn.TEXTSPLIT(H447,,"+")&lt;&gt;"埃米广告通")))</f>
        <v>607</v>
      </c>
      <c r="K447" s="109">
        <f>=EDATE(C447,D447)</f>
        <v>46486</v>
      </c>
      <c r="L447" s="168" t="s"/>
      <c r="M447" s="168" t="s"/>
      <c r="N447" s="168" t="s"/>
      <c r="O447" s="168" t="s"/>
      <c r="P447" s="168" t="s"/>
      <c r="Q447" s="196" t="s"/>
      <c r="R447" s="199" t="s"/>
      <c r="S447" s="199" t="s"/>
      <c r="T447" s="199" t="s"/>
      <c r="U447" s="199" t="s"/>
      <c r="V447" s="199" t="s"/>
      <c r="W447" s="199" t="s"/>
      <c r="X447" s="199" t="s"/>
      <c r="Y447" s="199" t="s"/>
      <c r="Z447" s="200" t="s"/>
      <c r="AA447" s="200" t="s"/>
      <c r="AB447" s="200" t="s"/>
      <c r="AC447" s="200" t="s"/>
      <c r="AD447" s="200" t="s"/>
      <c r="AE447" s="200" t="s"/>
      <c r="AF447" s="200" t="s"/>
      <c r="AG447" s="200" t="s"/>
      <c r="AH447" s="200" t="s"/>
      <c r="AI447" s="200" t="s"/>
      <c r="AJ447" s="200" t="s"/>
      <c r="AK447" s="200" t="s"/>
      <c r="AL447" s="200" t="s"/>
      <c r="AM447" s="200" t="s"/>
    </row>
    <row r="448" spans="1:39" s="431" customFormat="true">
      <c r="A448" s="97">
        <v>446</v>
      </c>
      <c r="B448" s="166" t="s">
        <v>511</v>
      </c>
      <c r="C448" s="162">
        <v>46122.429837963</v>
      </c>
      <c r="D448" s="167">
        <v>12</v>
      </c>
      <c r="E448" s="120">
        <v>46122</v>
      </c>
      <c r="F448" s="168" t="s">
        <v>242</v>
      </c>
      <c r="G448" s="168" t="s">
        <v>1541</v>
      </c>
      <c r="H448" s="96" t="s">
        <v>607</v>
      </c>
      <c r="I448" s="166" t="s">
        <v>609</v>
      </c>
      <c r="J448" s="97" t="s">
        <f>=_xlfn.TEXTJOIN("+",TRUE,_xlfn._xlws.FILTER(_xlfn.TEXTSPLIT(H448,,"+"),(_xlfn.TEXTSPLIT(H448,,"+")&lt;&gt;"埃米工具")*(_xlfn.TEXTSPLIT(H448,,"+")&lt;&gt;"埃米广告通")))</f>
        <v>607</v>
      </c>
      <c r="K448" s="109">
        <f>=EDATE(C448,D448)</f>
        <v>46487</v>
      </c>
      <c r="L448" s="168" t="s"/>
      <c r="M448" s="168" t="s"/>
      <c r="N448" s="168" t="s"/>
      <c r="O448" s="168" t="s"/>
      <c r="P448" s="168" t="s"/>
      <c r="Q448" s="196" t="s"/>
      <c r="R448" s="199" t="s"/>
      <c r="S448" s="199" t="s"/>
      <c r="T448" s="199" t="s"/>
      <c r="U448" s="199" t="s"/>
      <c r="V448" s="199" t="s"/>
      <c r="W448" s="199" t="s"/>
      <c r="X448" s="199" t="s"/>
      <c r="Y448" s="199" t="s"/>
      <c r="Z448" s="200" t="s"/>
      <c r="AA448" s="200" t="s"/>
      <c r="AB448" s="200" t="s"/>
      <c r="AC448" s="200" t="s"/>
      <c r="AD448" s="200" t="s"/>
      <c r="AE448" s="200" t="s"/>
      <c r="AF448" s="200" t="s"/>
      <c r="AG448" s="200" t="s"/>
      <c r="AH448" s="200" t="s"/>
      <c r="AI448" s="200" t="s"/>
      <c r="AJ448" s="200" t="s"/>
      <c r="AK448" s="200" t="s"/>
      <c r="AL448" s="200" t="s"/>
      <c r="AM448" s="200" t="s"/>
    </row>
    <row r="449" spans="1:39" s="431" customFormat="true">
      <c r="A449" s="97">
        <v>447</v>
      </c>
      <c r="B449" s="166" t="s">
        <v>1542</v>
      </c>
      <c r="C449" s="162">
        <v>46122.4079166667</v>
      </c>
      <c r="D449" s="167">
        <v>12</v>
      </c>
      <c r="E449" s="120">
        <v>46122</v>
      </c>
      <c r="F449" s="168" t="s">
        <v>245</v>
      </c>
      <c r="G449" s="168" t="s">
        <v>1543</v>
      </c>
      <c r="H449" s="96" t="s">
        <v>12</v>
      </c>
      <c r="I449" s="166" t="s">
        <v>609</v>
      </c>
      <c r="J449" s="97" t="s">
        <f>=_xlfn.TEXTJOIN("+",TRUE,_xlfn._xlws.FILTER(_xlfn.TEXTSPLIT(H449,,"+"),(_xlfn.TEXTSPLIT(H449,,"+")&lt;&gt;"埃米工具")*(_xlfn.TEXTSPLIT(H449,,"+")&lt;&gt;"埃米广告通")))</f>
        <v>12</v>
      </c>
      <c r="K449" s="109">
        <f>=EDATE(C449,D449)</f>
        <v>46487</v>
      </c>
      <c r="L449" s="168" t="s"/>
      <c r="M449" s="168" t="s"/>
      <c r="N449" s="168" t="s"/>
      <c r="O449" s="168" t="s"/>
      <c r="P449" s="168" t="s"/>
      <c r="Q449" s="196" t="s"/>
      <c r="R449" s="199" t="s"/>
      <c r="S449" s="199" t="s"/>
      <c r="T449" s="199" t="s"/>
      <c r="U449" s="199" t="s"/>
      <c r="V449" s="199" t="s"/>
      <c r="W449" s="199" t="s"/>
      <c r="X449" s="199" t="s"/>
      <c r="Y449" s="199" t="s"/>
      <c r="Z449" s="200" t="s"/>
      <c r="AA449" s="200" t="s"/>
      <c r="AB449" s="200" t="s"/>
      <c r="AC449" s="200" t="s"/>
      <c r="AD449" s="200" t="s"/>
      <c r="AE449" s="200" t="s"/>
      <c r="AF449" s="200" t="s"/>
      <c r="AG449" s="200" t="s"/>
      <c r="AH449" s="200" t="s"/>
      <c r="AI449" s="200" t="s"/>
      <c r="AJ449" s="200" t="s"/>
      <c r="AK449" s="200" t="s"/>
      <c r="AL449" s="200" t="s"/>
      <c r="AM449" s="200" t="s"/>
    </row>
    <row r="450" spans="1:39" s="431" customFormat="true">
      <c r="A450" s="97">
        <v>448</v>
      </c>
      <c r="B450" s="166" t="s">
        <v>1544</v>
      </c>
      <c r="C450" s="162">
        <v>46122.5432060185</v>
      </c>
      <c r="D450" s="167">
        <v>3</v>
      </c>
      <c r="E450" s="120">
        <v>46122</v>
      </c>
      <c r="F450" s="168" t="s">
        <v>242</v>
      </c>
      <c r="G450" s="168" t="s">
        <v>1545</v>
      </c>
      <c r="H450" s="96" t="s">
        <v>607</v>
      </c>
      <c r="I450" s="166" t="s">
        <v>609</v>
      </c>
      <c r="J450" s="97" t="s">
        <f>=_xlfn.TEXTJOIN("+",TRUE,_xlfn._xlws.FILTER(_xlfn.TEXTSPLIT(H450,,"+"),(_xlfn.TEXTSPLIT(H450,,"+")&lt;&gt;"埃米工具")*(_xlfn.TEXTSPLIT(H450,,"+")&lt;&gt;"埃米广告通")))</f>
        <v>607</v>
      </c>
      <c r="K450" s="109">
        <f>=EDATE(C450,D450)</f>
        <v>46213</v>
      </c>
      <c r="L450" s="168" t="s"/>
      <c r="M450" s="168" t="s"/>
      <c r="N450" s="168" t="s"/>
      <c r="O450" s="168" t="s"/>
      <c r="P450" s="168" t="s"/>
      <c r="Q450" s="196" t="s"/>
      <c r="R450" s="199" t="s"/>
      <c r="S450" s="199" t="s"/>
      <c r="T450" s="199" t="s"/>
      <c r="U450" s="199" t="s"/>
      <c r="V450" s="199" t="s"/>
      <c r="W450" s="199" t="s"/>
      <c r="X450" s="199" t="s"/>
      <c r="Y450" s="199" t="s"/>
      <c r="Z450" s="200" t="s"/>
      <c r="AA450" s="200" t="s"/>
      <c r="AB450" s="200" t="s"/>
      <c r="AC450" s="200" t="s"/>
      <c r="AD450" s="200" t="s"/>
      <c r="AE450" s="200" t="s"/>
      <c r="AF450" s="200" t="s"/>
      <c r="AG450" s="200" t="s"/>
      <c r="AH450" s="200" t="s"/>
      <c r="AI450" s="200" t="s"/>
      <c r="AJ450" s="200" t="s"/>
      <c r="AK450" s="200" t="s"/>
      <c r="AL450" s="200" t="s"/>
      <c r="AM450" s="200" t="s"/>
    </row>
    <row r="451" spans="1:39" s="431" customFormat="true">
      <c r="A451" s="231">
        <v>449</v>
      </c>
      <c r="B451" s="232" t="s">
        <v>517</v>
      </c>
      <c r="C451" s="233">
        <v>46122.7237152778</v>
      </c>
      <c r="D451" s="234">
        <v>12</v>
      </c>
      <c r="E451" s="235">
        <v>46122</v>
      </c>
      <c r="F451" s="236" t="s">
        <v>245</v>
      </c>
      <c r="G451" s="236" t="s">
        <v>1546</v>
      </c>
      <c r="H451" s="237" t="s">
        <v>12</v>
      </c>
      <c r="I451" s="238" t="s">
        <v>609</v>
      </c>
      <c r="J451" s="97" t="s">
        <f>=_xlfn.TEXTJOIN("+",TRUE,_xlfn._xlws.FILTER(_xlfn.TEXTSPLIT(H451,,"+"),(_xlfn.TEXTSPLIT(H451,,"+")&lt;&gt;"埃米工具")*(_xlfn.TEXTSPLIT(H451,,"+")&lt;&gt;"埃米广告通")))</f>
        <v>12</v>
      </c>
      <c r="K451" s="215">
        <f>=EDATE(C451,D451)</f>
        <v>46487</v>
      </c>
      <c r="L451" s="191">
        <v>46126</v>
      </c>
      <c r="M451" s="170" t="s">
        <v>1547</v>
      </c>
      <c r="N451" s="168" t="s"/>
      <c r="O451" s="168" t="s"/>
      <c r="P451" s="168" t="s"/>
      <c r="Q451" s="196" t="s"/>
      <c r="R451" s="199" t="s"/>
      <c r="S451" s="199" t="s"/>
      <c r="T451" s="199" t="s"/>
      <c r="U451" s="199" t="s"/>
      <c r="V451" s="199" t="s"/>
      <c r="W451" s="199" t="s"/>
      <c r="X451" s="199" t="s"/>
      <c r="Y451" s="199" t="s"/>
      <c r="Z451" s="200" t="s"/>
      <c r="AA451" s="200" t="s"/>
      <c r="AB451" s="200" t="s"/>
      <c r="AC451" s="200" t="s"/>
      <c r="AD451" s="200" t="s"/>
      <c r="AE451" s="200" t="s"/>
      <c r="AF451" s="200" t="s"/>
      <c r="AG451" s="200" t="s"/>
      <c r="AH451" s="200" t="s"/>
      <c r="AI451" s="200" t="s"/>
      <c r="AJ451" s="200" t="s"/>
      <c r="AK451" s="200" t="s"/>
      <c r="AL451" s="200" t="s"/>
      <c r="AM451" s="200" t="s"/>
    </row>
    <row r="452" spans="1:39" s="431" customFormat="true">
      <c r="A452" s="97">
        <v>450</v>
      </c>
      <c r="B452" s="239" t="s">
        <v>496</v>
      </c>
      <c r="C452" s="240">
        <v>46122.7306944445</v>
      </c>
      <c r="D452" s="167">
        <v>12</v>
      </c>
      <c r="E452" s="120">
        <v>46125</v>
      </c>
      <c r="F452" s="168" t="s">
        <v>239</v>
      </c>
      <c r="G452" s="239" t="s">
        <v>1548</v>
      </c>
      <c r="H452" s="96" t="s">
        <v>607</v>
      </c>
      <c r="I452" s="166" t="s">
        <v>609</v>
      </c>
      <c r="J452" s="97" t="s">
        <f>=_xlfn.TEXTJOIN("+",TRUE,_xlfn._xlws.FILTER(_xlfn.TEXTSPLIT(H452,,"+"),(_xlfn.TEXTSPLIT(H452,,"+")&lt;&gt;"埃米工具")*(_xlfn.TEXTSPLIT(H452,,"+")&lt;&gt;"埃米广告通")))</f>
        <v>607</v>
      </c>
      <c r="K452" s="109">
        <f>=EDATE(C452,D452)</f>
        <v>46487</v>
      </c>
      <c r="L452" s="172" t="s"/>
      <c r="M452" s="168" t="s"/>
      <c r="N452" s="168" t="s"/>
      <c r="O452" s="168" t="s"/>
      <c r="P452" s="168" t="s"/>
      <c r="Q452" s="196" t="s"/>
      <c r="R452" s="199" t="s"/>
      <c r="S452" s="199" t="s"/>
      <c r="T452" s="199" t="s"/>
      <c r="U452" s="199" t="s"/>
      <c r="V452" s="199" t="s"/>
      <c r="W452" s="199" t="s"/>
      <c r="X452" s="199" t="s"/>
      <c r="Y452" s="199" t="s"/>
      <c r="Z452" s="200" t="s"/>
      <c r="AA452" s="200" t="s"/>
      <c r="AB452" s="200" t="s"/>
      <c r="AC452" s="200" t="s"/>
      <c r="AD452" s="200" t="s"/>
      <c r="AE452" s="200" t="s"/>
      <c r="AF452" s="200" t="s"/>
      <c r="AG452" s="200" t="s"/>
      <c r="AH452" s="200" t="s"/>
      <c r="AI452" s="200" t="s"/>
      <c r="AJ452" s="200" t="s"/>
      <c r="AK452" s="200" t="s"/>
      <c r="AL452" s="200" t="s"/>
      <c r="AM452" s="200" t="s"/>
    </row>
    <row r="453" spans="1:39" s="431" customFormat="true">
      <c r="A453" s="97">
        <v>451</v>
      </c>
      <c r="B453" s="239" t="s">
        <v>1549</v>
      </c>
      <c r="C453" s="240">
        <v>46122.7293402778</v>
      </c>
      <c r="D453" s="167">
        <v>12</v>
      </c>
      <c r="E453" s="120">
        <v>46125</v>
      </c>
      <c r="F453" s="168" t="s">
        <v>277</v>
      </c>
      <c r="G453" s="239" t="s">
        <v>1550</v>
      </c>
      <c r="H453" s="96" t="s">
        <v>607</v>
      </c>
      <c r="I453" s="166" t="s">
        <v>609</v>
      </c>
      <c r="J453" s="97" t="s">
        <f>=_xlfn.TEXTJOIN("+",TRUE,_xlfn._xlws.FILTER(_xlfn.TEXTSPLIT(H453,,"+"),(_xlfn.TEXTSPLIT(H453,,"+")&lt;&gt;"埃米工具")*(_xlfn.TEXTSPLIT(H453,,"+")&lt;&gt;"埃米广告通")))</f>
        <v>607</v>
      </c>
      <c r="K453" s="109">
        <f>=EDATE(C453,D453)</f>
        <v>46487</v>
      </c>
      <c r="L453" s="172" t="s">
        <v>1387</v>
      </c>
      <c r="M453" s="168" t="s"/>
      <c r="N453" s="168" t="s"/>
      <c r="O453" s="168" t="s">
        <v>1529</v>
      </c>
      <c r="P453" s="168" t="s"/>
      <c r="Q453" s="196" t="s"/>
      <c r="R453" s="199" t="s"/>
      <c r="S453" s="199" t="s"/>
      <c r="T453" s="199" t="s"/>
      <c r="U453" s="199" t="s"/>
      <c r="V453" s="199" t="s"/>
      <c r="W453" s="199" t="s"/>
      <c r="X453" s="199" t="s"/>
      <c r="Y453" s="199" t="s"/>
      <c r="Z453" s="200" t="s"/>
      <c r="AA453" s="200" t="s"/>
      <c r="AB453" s="200" t="s"/>
      <c r="AC453" s="200" t="s"/>
      <c r="AD453" s="200" t="s"/>
      <c r="AE453" s="200" t="s"/>
      <c r="AF453" s="200" t="s"/>
      <c r="AG453" s="200" t="s"/>
      <c r="AH453" s="200" t="s"/>
      <c r="AI453" s="200" t="s"/>
      <c r="AJ453" s="200" t="s"/>
      <c r="AK453" s="200" t="s"/>
      <c r="AL453" s="200" t="s"/>
      <c r="AM453" s="200" t="s"/>
    </row>
    <row r="454" spans="1:39" s="431" customFormat="true">
      <c r="A454" s="97">
        <v>452</v>
      </c>
      <c r="B454" s="239" t="s">
        <v>513</v>
      </c>
      <c r="C454" s="240">
        <v>46122.6889236111</v>
      </c>
      <c r="D454" s="167">
        <v>12</v>
      </c>
      <c r="E454" s="120">
        <v>46125</v>
      </c>
      <c r="F454" s="168" t="s">
        <v>245</v>
      </c>
      <c r="G454" s="239" t="s">
        <v>1551</v>
      </c>
      <c r="H454" s="96" t="s">
        <v>607</v>
      </c>
      <c r="I454" s="166" t="s">
        <v>609</v>
      </c>
      <c r="J454" s="97" t="s">
        <f>=_xlfn.TEXTJOIN("+",TRUE,_xlfn._xlws.FILTER(_xlfn.TEXTSPLIT(H454,,"+"),(_xlfn.TEXTSPLIT(H454,,"+")&lt;&gt;"埃米工具")*(_xlfn.TEXTSPLIT(H454,,"+")&lt;&gt;"埃米广告通")))</f>
        <v>607</v>
      </c>
      <c r="K454" s="109">
        <f>=EDATE(C454,D454)</f>
        <v>46487</v>
      </c>
      <c r="L454" s="172" t="s"/>
      <c r="M454" s="168" t="s"/>
      <c r="N454" s="168" t="s"/>
      <c r="O454" s="168" t="s"/>
      <c r="P454" s="168" t="s"/>
      <c r="Q454" s="196" t="s"/>
      <c r="R454" s="199" t="s"/>
      <c r="S454" s="199" t="s"/>
      <c r="T454" s="199" t="s"/>
      <c r="U454" s="199" t="s"/>
      <c r="V454" s="199" t="s"/>
      <c r="W454" s="199" t="s"/>
      <c r="X454" s="199" t="s"/>
      <c r="Y454" s="199" t="s"/>
      <c r="Z454" s="200" t="s"/>
      <c r="AA454" s="200" t="s"/>
      <c r="AB454" s="200" t="s"/>
      <c r="AC454" s="200" t="s"/>
      <c r="AD454" s="200" t="s"/>
      <c r="AE454" s="200" t="s"/>
      <c r="AF454" s="200" t="s"/>
      <c r="AG454" s="200" t="s"/>
      <c r="AH454" s="200" t="s"/>
      <c r="AI454" s="200" t="s"/>
      <c r="AJ454" s="200" t="s"/>
      <c r="AK454" s="200" t="s"/>
      <c r="AL454" s="200" t="s"/>
      <c r="AM454" s="200" t="s"/>
    </row>
    <row r="455" spans="1:39" s="431" customFormat="true">
      <c r="A455" s="97">
        <v>453</v>
      </c>
      <c r="B455" s="239" t="s">
        <v>1552</v>
      </c>
      <c r="C455" s="240">
        <v>46122.6918518519</v>
      </c>
      <c r="D455" s="167">
        <v>12</v>
      </c>
      <c r="E455" s="120">
        <v>46125</v>
      </c>
      <c r="F455" s="168" t="s">
        <v>242</v>
      </c>
      <c r="G455" s="239" t="s">
        <v>1553</v>
      </c>
      <c r="H455" s="96" t="s">
        <v>607</v>
      </c>
      <c r="I455" s="166" t="s">
        <v>609</v>
      </c>
      <c r="J455" s="97" t="s">
        <f>=_xlfn.TEXTJOIN("+",TRUE,_xlfn._xlws.FILTER(_xlfn.TEXTSPLIT(H455,,"+"),(_xlfn.TEXTSPLIT(H455,,"+")&lt;&gt;"埃米工具")*(_xlfn.TEXTSPLIT(H455,,"+")&lt;&gt;"埃米广告通")))</f>
        <v>607</v>
      </c>
      <c r="K455" s="109">
        <f>=EDATE(C455,D455)</f>
        <v>46487</v>
      </c>
      <c r="L455" s="172" t="s"/>
      <c r="M455" s="168" t="s"/>
      <c r="N455" s="168" t="s"/>
      <c r="O455" s="168" t="s"/>
      <c r="P455" s="168" t="s"/>
      <c r="Q455" s="196" t="s"/>
      <c r="R455" s="199" t="s"/>
      <c r="S455" s="199" t="s"/>
      <c r="T455" s="199" t="s"/>
      <c r="U455" s="199" t="s"/>
      <c r="V455" s="199" t="s"/>
      <c r="W455" s="199" t="s"/>
      <c r="X455" s="199" t="s"/>
      <c r="Y455" s="199" t="s"/>
      <c r="Z455" s="200" t="s"/>
      <c r="AA455" s="200" t="s"/>
      <c r="AB455" s="200" t="s"/>
      <c r="AC455" s="200" t="s"/>
      <c r="AD455" s="200" t="s"/>
      <c r="AE455" s="200" t="s"/>
      <c r="AF455" s="200" t="s"/>
      <c r="AG455" s="200" t="s"/>
      <c r="AH455" s="200" t="s"/>
      <c r="AI455" s="200" t="s"/>
      <c r="AJ455" s="200" t="s"/>
      <c r="AK455" s="200" t="s"/>
      <c r="AL455" s="200" t="s"/>
      <c r="AM455" s="200" t="s"/>
    </row>
    <row r="456" spans="1:39" s="431" customFormat="true">
      <c r="A456" s="97">
        <v>454</v>
      </c>
      <c r="B456" s="239" t="s">
        <v>1554</v>
      </c>
      <c r="C456" s="240">
        <v>46123.5493402778</v>
      </c>
      <c r="D456" s="167">
        <v>12</v>
      </c>
      <c r="E456" s="120">
        <v>46125</v>
      </c>
      <c r="F456" s="168" t="s">
        <v>245</v>
      </c>
      <c r="G456" s="239" t="s">
        <v>1555</v>
      </c>
      <c r="H456" s="96" t="s">
        <v>12</v>
      </c>
      <c r="I456" s="166" t="s">
        <v>609</v>
      </c>
      <c r="J456" s="97" t="s">
        <f>=_xlfn.TEXTJOIN("+",TRUE,_xlfn._xlws.FILTER(_xlfn.TEXTSPLIT(H456,,"+"),(_xlfn.TEXTSPLIT(H456,,"+")&lt;&gt;"埃米工具")*(_xlfn.TEXTSPLIT(H456,,"+")&lt;&gt;"埃米广告通")))</f>
        <v>12</v>
      </c>
      <c r="K456" s="109">
        <f>=EDATE(C456,D456)</f>
        <v>46488</v>
      </c>
      <c r="L456" s="199" t="s"/>
      <c r="M456" s="199" t="s"/>
      <c r="N456" s="199" t="s"/>
      <c r="O456" s="199" t="s"/>
      <c r="P456" s="199" t="s"/>
      <c r="Q456" s="241" t="s"/>
      <c r="R456" s="199" t="s"/>
      <c r="S456" s="199" t="s"/>
      <c r="T456" s="199" t="s"/>
      <c r="U456" s="199" t="s"/>
      <c r="V456" s="199" t="s"/>
      <c r="W456" s="199" t="s"/>
      <c r="X456" s="199" t="s"/>
      <c r="Y456" s="199" t="s"/>
      <c r="Z456" s="200" t="s"/>
      <c r="AA456" s="200" t="s"/>
      <c r="AB456" s="200" t="s"/>
      <c r="AC456" s="200" t="s"/>
      <c r="AD456" s="200" t="s"/>
      <c r="AE456" s="200" t="s"/>
      <c r="AF456" s="200" t="s"/>
      <c r="AG456" s="200" t="s"/>
      <c r="AH456" s="200" t="s"/>
      <c r="AI456" s="200" t="s"/>
      <c r="AJ456" s="200" t="s"/>
      <c r="AK456" s="200" t="s"/>
      <c r="AL456" s="200" t="s"/>
      <c r="AM456" s="200" t="s"/>
    </row>
    <row r="457" spans="1:39" s="431" customFormat="true">
      <c r="A457" s="97">
        <v>455</v>
      </c>
      <c r="B457" s="239" t="s">
        <v>509</v>
      </c>
      <c r="C457" s="240">
        <v>46122.828287037</v>
      </c>
      <c r="D457" s="167">
        <v>12</v>
      </c>
      <c r="E457" s="120">
        <v>46125</v>
      </c>
      <c r="F457" s="168" t="s">
        <v>242</v>
      </c>
      <c r="G457" s="239" t="s">
        <v>1556</v>
      </c>
      <c r="H457" s="96" t="s">
        <v>12</v>
      </c>
      <c r="I457" s="166" t="s">
        <v>609</v>
      </c>
      <c r="J457" s="97" t="s">
        <f>=_xlfn.TEXTJOIN("+",TRUE,_xlfn._xlws.FILTER(_xlfn.TEXTSPLIT(H457,,"+"),(_xlfn.TEXTSPLIT(H457,,"+")&lt;&gt;"埃米工具")*(_xlfn.TEXTSPLIT(H457,,"+")&lt;&gt;"埃米广告通")))</f>
        <v>12</v>
      </c>
      <c r="K457" s="109">
        <f>=EDATE(C457,D457)</f>
        <v>46487</v>
      </c>
      <c r="L457" s="199" t="s"/>
      <c r="M457" s="199" t="s"/>
      <c r="N457" s="199" t="s"/>
      <c r="O457" s="199" t="s"/>
      <c r="P457" s="199" t="s"/>
      <c r="Q457" s="241" t="s"/>
      <c r="R457" s="199" t="s"/>
      <c r="S457" s="199" t="s"/>
      <c r="T457" s="199" t="s"/>
      <c r="U457" s="199" t="s"/>
      <c r="V457" s="199" t="s"/>
      <c r="W457" s="199" t="s"/>
      <c r="X457" s="199" t="s"/>
      <c r="Y457" s="199" t="s"/>
      <c r="Z457" s="200" t="s"/>
      <c r="AA457" s="200" t="s"/>
      <c r="AB457" s="200" t="s"/>
      <c r="AC457" s="200" t="s"/>
      <c r="AD457" s="200" t="s"/>
      <c r="AE457" s="200" t="s"/>
      <c r="AF457" s="200" t="s"/>
      <c r="AG457" s="200" t="s"/>
      <c r="AH457" s="200" t="s"/>
      <c r="AI457" s="200" t="s"/>
      <c r="AJ457" s="200" t="s"/>
      <c r="AK457" s="200" t="s"/>
      <c r="AL457" s="200" t="s"/>
      <c r="AM457" s="200" t="s"/>
    </row>
    <row r="458" spans="1:39" s="431" customFormat="true">
      <c r="A458" s="97">
        <v>456</v>
      </c>
      <c r="B458" s="239" t="s">
        <v>1557</v>
      </c>
      <c r="C458" s="240">
        <v>46123.3910300926</v>
      </c>
      <c r="D458" s="167">
        <v>12</v>
      </c>
      <c r="E458" s="120">
        <v>46125</v>
      </c>
      <c r="F458" s="168" t="s">
        <v>239</v>
      </c>
      <c r="G458" s="239" t="s">
        <v>1558</v>
      </c>
      <c r="H458" s="96" t="s">
        <v>12</v>
      </c>
      <c r="I458" s="166" t="s">
        <v>609</v>
      </c>
      <c r="J458" s="97" t="s">
        <f>=_xlfn.TEXTJOIN("+",TRUE,_xlfn._xlws.FILTER(_xlfn.TEXTSPLIT(H458,,"+"),(_xlfn.TEXTSPLIT(H458,,"+")&lt;&gt;"埃米工具")*(_xlfn.TEXTSPLIT(H458,,"+")&lt;&gt;"埃米广告通")))</f>
        <v>12</v>
      </c>
      <c r="K458" s="109">
        <f>=EDATE(C458,D458)</f>
        <v>46488</v>
      </c>
      <c r="L458" s="199" t="s"/>
      <c r="M458" s="199" t="s"/>
      <c r="N458" s="199" t="s"/>
      <c r="O458" s="199" t="s"/>
      <c r="P458" s="199" t="s"/>
      <c r="Q458" s="241" t="s"/>
      <c r="R458" s="199" t="s"/>
      <c r="S458" s="199" t="s"/>
      <c r="T458" s="199" t="s"/>
      <c r="U458" s="199" t="s"/>
      <c r="V458" s="199" t="s"/>
      <c r="W458" s="199" t="s"/>
      <c r="X458" s="199" t="s"/>
      <c r="Y458" s="199" t="s"/>
      <c r="Z458" s="200" t="s"/>
      <c r="AA458" s="200" t="s"/>
      <c r="AB458" s="200" t="s"/>
      <c r="AC458" s="200" t="s"/>
      <c r="AD458" s="200" t="s"/>
      <c r="AE458" s="200" t="s"/>
      <c r="AF458" s="200" t="s"/>
      <c r="AG458" s="200" t="s"/>
      <c r="AH458" s="200" t="s"/>
      <c r="AI458" s="200" t="s"/>
      <c r="AJ458" s="200" t="s"/>
      <c r="AK458" s="200" t="s"/>
      <c r="AL458" s="200" t="s"/>
      <c r="AM458" s="200" t="s"/>
    </row>
    <row r="459" spans="1:39" s="431" customFormat="true">
      <c r="A459" s="231">
        <v>457</v>
      </c>
      <c r="B459" s="242" t="s">
        <v>1559</v>
      </c>
      <c r="C459" s="243">
        <v>46122.7699305556</v>
      </c>
      <c r="D459" s="234">
        <v>12</v>
      </c>
      <c r="E459" s="235">
        <v>46125</v>
      </c>
      <c r="F459" s="236" t="s">
        <v>245</v>
      </c>
      <c r="G459" s="242" t="s">
        <v>1560</v>
      </c>
      <c r="H459" s="237" t="s">
        <v>606</v>
      </c>
      <c r="I459" s="238" t="s">
        <v>609</v>
      </c>
      <c r="J459" s="97" t="s">
        <f>=_xlfn.TEXTJOIN("+",TRUE,_xlfn._xlws.FILTER(_xlfn.TEXTSPLIT(H459,,"+"),(_xlfn.TEXTSPLIT(H459,,"+")&lt;&gt;"埃米工具")*(_xlfn.TEXTSPLIT(H459,,"+")&lt;&gt;"埃米广告通")))</f>
        <v>15</v>
      </c>
      <c r="K459" s="215">
        <f>=EDATE(C459,D459)</f>
        <v>46487</v>
      </c>
      <c r="L459" s="199" t="s"/>
      <c r="M459" s="199" t="s"/>
      <c r="N459" s="199" t="s"/>
      <c r="O459" s="199" t="s"/>
      <c r="P459" s="199" t="s"/>
      <c r="Q459" s="241" t="s"/>
      <c r="R459" s="199" t="s"/>
      <c r="S459" s="199" t="s"/>
      <c r="T459" s="199" t="s"/>
      <c r="U459" s="199" t="s"/>
      <c r="V459" s="199" t="s"/>
      <c r="W459" s="199" t="s"/>
      <c r="X459" s="199" t="s"/>
      <c r="Y459" s="199" t="s"/>
      <c r="Z459" s="200" t="s"/>
      <c r="AA459" s="200" t="s"/>
      <c r="AB459" s="200" t="s"/>
      <c r="AC459" s="200" t="s"/>
      <c r="AD459" s="200" t="s"/>
      <c r="AE459" s="200" t="s"/>
      <c r="AF459" s="200" t="s"/>
      <c r="AG459" s="200" t="s"/>
      <c r="AH459" s="200" t="s"/>
      <c r="AI459" s="200" t="s"/>
      <c r="AJ459" s="200" t="s"/>
      <c r="AK459" s="200" t="s"/>
      <c r="AL459" s="200" t="s"/>
      <c r="AM459" s="200" t="s"/>
    </row>
    <row r="460" spans="1:39" s="431" customFormat="true">
      <c r="A460" s="97">
        <v>458</v>
      </c>
      <c r="B460" s="239" t="s">
        <v>507</v>
      </c>
      <c r="C460" s="240">
        <v>46123.4375578704</v>
      </c>
      <c r="D460" s="167">
        <v>12</v>
      </c>
      <c r="E460" s="120">
        <v>46125</v>
      </c>
      <c r="F460" s="168" t="s">
        <v>242</v>
      </c>
      <c r="G460" s="239" t="s">
        <v>1561</v>
      </c>
      <c r="H460" s="96" t="s">
        <v>12</v>
      </c>
      <c r="I460" s="166" t="s">
        <v>609</v>
      </c>
      <c r="J460" s="97" t="s">
        <f>=_xlfn.TEXTJOIN("+",TRUE,_xlfn._xlws.FILTER(_xlfn.TEXTSPLIT(H460,,"+"),(_xlfn.TEXTSPLIT(H460,,"+")&lt;&gt;"埃米工具")*(_xlfn.TEXTSPLIT(H460,,"+")&lt;&gt;"埃米广告通")))</f>
        <v>12</v>
      </c>
      <c r="K460" s="109">
        <f>=EDATE(C460,D460)</f>
        <v>46488</v>
      </c>
      <c r="L460" s="199" t="s"/>
      <c r="M460" s="199" t="s"/>
      <c r="N460" s="199" t="s"/>
      <c r="O460" s="199" t="s"/>
      <c r="P460" s="199" t="s"/>
      <c r="Q460" s="241" t="s"/>
      <c r="R460" s="199" t="s"/>
      <c r="S460" s="199" t="s"/>
      <c r="T460" s="199" t="s"/>
      <c r="U460" s="199" t="s"/>
      <c r="V460" s="199" t="s"/>
      <c r="W460" s="199" t="s"/>
      <c r="X460" s="199" t="s"/>
      <c r="Y460" s="199" t="s"/>
      <c r="Z460" s="200" t="s"/>
      <c r="AA460" s="200" t="s"/>
      <c r="AB460" s="200" t="s"/>
      <c r="AC460" s="200" t="s"/>
      <c r="AD460" s="200" t="s"/>
      <c r="AE460" s="200" t="s"/>
      <c r="AF460" s="200" t="s"/>
      <c r="AG460" s="200" t="s"/>
      <c r="AH460" s="200" t="s"/>
      <c r="AI460" s="200" t="s"/>
      <c r="AJ460" s="200" t="s"/>
      <c r="AK460" s="200" t="s"/>
      <c r="AL460" s="200" t="s"/>
      <c r="AM460" s="200" t="s"/>
    </row>
    <row r="461" spans="1:39" s="431" customFormat="true">
      <c r="A461" s="97">
        <v>459</v>
      </c>
      <c r="B461" s="166" t="s">
        <v>505</v>
      </c>
      <c r="C461" s="162">
        <v>46125.4193055556</v>
      </c>
      <c r="D461" s="167">
        <v>12</v>
      </c>
      <c r="E461" s="120">
        <v>46125</v>
      </c>
      <c r="F461" s="168" t="s">
        <v>242</v>
      </c>
      <c r="G461" s="168" t="s">
        <v>1562</v>
      </c>
      <c r="H461" s="96" t="s">
        <v>12</v>
      </c>
      <c r="I461" s="166" t="s">
        <v>609</v>
      </c>
      <c r="J461" s="97" t="s">
        <f>=_xlfn.TEXTJOIN("+",TRUE,_xlfn._xlws.FILTER(_xlfn.TEXTSPLIT(H461,,"+"),(_xlfn.TEXTSPLIT(H461,,"+")&lt;&gt;"埃米工具")*(_xlfn.TEXTSPLIT(H461,,"+")&lt;&gt;"埃米广告通")))</f>
        <v>12</v>
      </c>
      <c r="K461" s="109">
        <f>=EDATE(C461,D461)</f>
        <v>46490</v>
      </c>
      <c r="L461" s="193">
        <v>46125</v>
      </c>
      <c r="M461" s="199" t="s">
        <v>1563</v>
      </c>
      <c r="N461" s="199" t="s"/>
      <c r="O461" s="199" t="s"/>
      <c r="P461" s="199" t="s"/>
      <c r="Q461" s="241" t="s"/>
      <c r="R461" s="199" t="s"/>
      <c r="S461" s="199" t="s"/>
      <c r="T461" s="199" t="s"/>
      <c r="U461" s="199" t="s"/>
      <c r="V461" s="199" t="s"/>
      <c r="W461" s="199" t="s"/>
      <c r="X461" s="199" t="s"/>
      <c r="Y461" s="199" t="s"/>
      <c r="Z461" s="200" t="s"/>
      <c r="AA461" s="200" t="s"/>
      <c r="AB461" s="200" t="s"/>
      <c r="AC461" s="200" t="s"/>
      <c r="AD461" s="200" t="s"/>
      <c r="AE461" s="200" t="s"/>
      <c r="AF461" s="200" t="s"/>
      <c r="AG461" s="200" t="s"/>
      <c r="AH461" s="200" t="s"/>
      <c r="AI461" s="200" t="s"/>
      <c r="AJ461" s="200" t="s"/>
      <c r="AK461" s="200" t="s"/>
      <c r="AL461" s="200" t="s"/>
      <c r="AM461" s="200" t="s"/>
    </row>
    <row r="462" spans="1:39" s="431" customFormat="true">
      <c r="A462" s="231">
        <v>460</v>
      </c>
      <c r="B462" s="242" t="s">
        <v>1564</v>
      </c>
      <c r="C462" s="243">
        <v>46125.4712847222</v>
      </c>
      <c r="D462" s="234">
        <v>12</v>
      </c>
      <c r="E462" s="235">
        <v>46125</v>
      </c>
      <c r="F462" s="236" t="s">
        <v>638</v>
      </c>
      <c r="G462" s="242" t="s">
        <v>1565</v>
      </c>
      <c r="H462" s="237" t="s">
        <v>12</v>
      </c>
      <c r="I462" s="238" t="s">
        <v>609</v>
      </c>
      <c r="J462" s="97" t="s">
        <f>=_xlfn.TEXTJOIN("+",TRUE,_xlfn._xlws.FILTER(_xlfn.TEXTSPLIT(H462,,"+"),(_xlfn.TEXTSPLIT(H462,,"+")&lt;&gt;"埃米工具")*(_xlfn.TEXTSPLIT(H462,,"+")&lt;&gt;"埃米广告通")))</f>
        <v>12</v>
      </c>
      <c r="K462" s="215">
        <f>=EDATE(C462,D462)</f>
        <v>46490</v>
      </c>
      <c r="L462" s="199" t="s"/>
      <c r="M462" s="199" t="s"/>
      <c r="N462" s="199" t="s"/>
      <c r="O462" s="199" t="s"/>
      <c r="P462" s="199" t="s"/>
      <c r="Q462" s="241" t="s"/>
      <c r="R462" s="199" t="s"/>
      <c r="S462" s="199" t="s"/>
      <c r="T462" s="199" t="s"/>
      <c r="U462" s="199" t="s"/>
      <c r="V462" s="199" t="s"/>
      <c r="W462" s="199" t="s"/>
      <c r="X462" s="199" t="s"/>
      <c r="Y462" s="199" t="s"/>
      <c r="Z462" s="200" t="s"/>
      <c r="AA462" s="200" t="s"/>
      <c r="AB462" s="200" t="s"/>
      <c r="AC462" s="200" t="s"/>
      <c r="AD462" s="200" t="s"/>
      <c r="AE462" s="200" t="s"/>
      <c r="AF462" s="200" t="s"/>
      <c r="AG462" s="200" t="s"/>
      <c r="AH462" s="200" t="s"/>
      <c r="AI462" s="200" t="s"/>
      <c r="AJ462" s="200" t="s"/>
      <c r="AK462" s="200" t="s"/>
      <c r="AL462" s="200" t="s"/>
      <c r="AM462" s="200" t="s"/>
    </row>
    <row r="463" spans="1:39" s="431" customFormat="true">
      <c r="A463" s="231">
        <v>462</v>
      </c>
      <c r="B463" s="242" t="s">
        <v>1566</v>
      </c>
      <c r="C463" s="243">
        <v>46125.4704282408</v>
      </c>
      <c r="D463" s="234">
        <v>12</v>
      </c>
      <c r="E463" s="235">
        <v>46125</v>
      </c>
      <c r="F463" s="236" t="s">
        <v>245</v>
      </c>
      <c r="G463" s="242" t="s">
        <v>1567</v>
      </c>
      <c r="H463" s="237" t="s">
        <v>12</v>
      </c>
      <c r="I463" s="238" t="s">
        <v>609</v>
      </c>
      <c r="J463" s="97" t="s">
        <f>=_xlfn.TEXTJOIN("+",TRUE,_xlfn._xlws.FILTER(_xlfn.TEXTSPLIT(H463,,"+"),(_xlfn.TEXTSPLIT(H463,,"+")&lt;&gt;"埃米工具")*(_xlfn.TEXTSPLIT(H463,,"+")&lt;&gt;"埃米广告通")))</f>
        <v>12</v>
      </c>
      <c r="K463" s="215">
        <f>=EDATE(C463,D463)</f>
        <v>46490</v>
      </c>
      <c r="L463" s="199" t="s"/>
      <c r="M463" s="199" t="s"/>
      <c r="N463" s="199" t="s"/>
      <c r="O463" s="199" t="s"/>
      <c r="P463" s="199" t="s"/>
      <c r="Q463" s="241" t="s"/>
      <c r="R463" s="199" t="s"/>
      <c r="S463" s="199" t="s"/>
      <c r="T463" s="199" t="s"/>
      <c r="U463" s="199" t="s"/>
      <c r="V463" s="199" t="s"/>
      <c r="W463" s="199" t="s"/>
      <c r="X463" s="199" t="s"/>
      <c r="Y463" s="199" t="s"/>
      <c r="Z463" s="200" t="s"/>
      <c r="AA463" s="200" t="s"/>
      <c r="AB463" s="200" t="s"/>
      <c r="AC463" s="200" t="s"/>
      <c r="AD463" s="200" t="s"/>
      <c r="AE463" s="200" t="s"/>
      <c r="AF463" s="200" t="s"/>
      <c r="AG463" s="200" t="s"/>
      <c r="AH463" s="200" t="s"/>
      <c r="AI463" s="200" t="s"/>
      <c r="AJ463" s="200" t="s"/>
      <c r="AK463" s="200" t="s"/>
      <c r="AL463" s="200" t="s"/>
      <c r="AM463" s="200" t="s"/>
    </row>
    <row r="464" spans="1:39" s="431" customFormat="true">
      <c r="A464" s="97">
        <v>463</v>
      </c>
      <c r="B464" s="166" t="s">
        <v>1568</v>
      </c>
      <c r="C464" s="162">
        <v>46125.5803125</v>
      </c>
      <c r="D464" s="167">
        <v>12</v>
      </c>
      <c r="E464" s="120">
        <v>46125</v>
      </c>
      <c r="F464" s="168" t="s">
        <v>638</v>
      </c>
      <c r="G464" s="244" t="s">
        <v>1569</v>
      </c>
      <c r="H464" s="96" t="s">
        <v>607</v>
      </c>
      <c r="I464" s="166" t="s">
        <v>609</v>
      </c>
      <c r="J464" s="97" t="s">
        <f>=_xlfn.TEXTJOIN("+",TRUE,_xlfn._xlws.FILTER(_xlfn.TEXTSPLIT(H464,,"+"),(_xlfn.TEXTSPLIT(H464,,"+")&lt;&gt;"埃米工具")*(_xlfn.TEXTSPLIT(H464,,"+")&lt;&gt;"埃米广告通")))</f>
        <v>607</v>
      </c>
      <c r="K464" s="100">
        <f>=EDATE(C464,D464)</f>
        <v>46490</v>
      </c>
      <c r="L464" s="199" t="s"/>
      <c r="M464" s="199" t="s"/>
      <c r="N464" s="199" t="s"/>
      <c r="O464" s="199" t="s"/>
      <c r="P464" s="199" t="s"/>
      <c r="Q464" s="241" t="s"/>
      <c r="R464" s="199" t="s"/>
      <c r="S464" s="199" t="s"/>
      <c r="T464" s="199" t="s"/>
      <c r="U464" s="199" t="s"/>
      <c r="V464" s="199" t="s"/>
      <c r="W464" s="199" t="s"/>
      <c r="X464" s="199" t="s"/>
      <c r="Y464" s="199" t="s"/>
      <c r="Z464" s="200" t="s"/>
      <c r="AA464" s="200" t="s"/>
      <c r="AB464" s="200" t="s"/>
      <c r="AC464" s="200" t="s"/>
      <c r="AD464" s="200" t="s"/>
      <c r="AE464" s="200" t="s"/>
      <c r="AF464" s="200" t="s"/>
      <c r="AG464" s="200" t="s"/>
      <c r="AH464" s="200" t="s"/>
      <c r="AI464" s="200" t="s"/>
      <c r="AJ464" s="200" t="s"/>
      <c r="AK464" s="200" t="s"/>
      <c r="AL464" s="200" t="s"/>
      <c r="AM464" s="200" t="s"/>
    </row>
    <row r="465" spans="1:39" s="431" customFormat="true">
      <c r="A465" s="231">
        <v>464</v>
      </c>
      <c r="B465" s="238" t="s">
        <v>1570</v>
      </c>
      <c r="C465" s="233">
        <v>46125.618275463</v>
      </c>
      <c r="D465" s="234">
        <v>12</v>
      </c>
      <c r="E465" s="235">
        <v>46125</v>
      </c>
      <c r="F465" s="236" t="s">
        <v>638</v>
      </c>
      <c r="G465" s="236" t="s">
        <v>1571</v>
      </c>
      <c r="H465" s="237" t="s">
        <v>12</v>
      </c>
      <c r="I465" s="238" t="s">
        <v>609</v>
      </c>
      <c r="J465" s="97" t="s">
        <f>=_xlfn.TEXTJOIN("+",TRUE,_xlfn._xlws.FILTER(_xlfn.TEXTSPLIT(H465,,"+"),(_xlfn.TEXTSPLIT(H465,,"+")&lt;&gt;"埃米工具")*(_xlfn.TEXTSPLIT(H465,,"+")&lt;&gt;"埃米广告通")))</f>
        <v>12</v>
      </c>
      <c r="K465" s="215">
        <f>=EDATE(C465,D465)</f>
        <v>46490</v>
      </c>
      <c r="L465" s="245">
        <v>46126</v>
      </c>
      <c r="M465" s="246" t="s">
        <v>1572</v>
      </c>
      <c r="N465" s="199" t="s"/>
      <c r="O465" s="199" t="s"/>
      <c r="P465" s="199" t="s"/>
      <c r="Q465" s="241" t="s"/>
      <c r="R465" s="199" t="s"/>
      <c r="S465" s="199" t="s"/>
      <c r="T465" s="199" t="s"/>
      <c r="U465" s="199" t="s"/>
      <c r="V465" s="199" t="s"/>
      <c r="W465" s="199" t="s"/>
      <c r="X465" s="199" t="s"/>
      <c r="Y465" s="199" t="s"/>
      <c r="Z465" s="200" t="s"/>
      <c r="AA465" s="200" t="s"/>
      <c r="AB465" s="200" t="s"/>
      <c r="AC465" s="200" t="s"/>
      <c r="AD465" s="200" t="s"/>
      <c r="AE465" s="200" t="s"/>
      <c r="AF465" s="200" t="s"/>
      <c r="AG465" s="200" t="s"/>
      <c r="AH465" s="200" t="s"/>
      <c r="AI465" s="200" t="s"/>
      <c r="AJ465" s="200" t="s"/>
      <c r="AK465" s="200" t="s"/>
      <c r="AL465" s="200" t="s"/>
      <c r="AM465" s="200" t="s"/>
    </row>
    <row r="466" spans="1:39" s="431" customFormat="true">
      <c r="A466" s="97">
        <v>465</v>
      </c>
      <c r="B466" s="166" t="s">
        <v>1573</v>
      </c>
      <c r="C466" s="162">
        <v>46125.6243634259</v>
      </c>
      <c r="D466" s="167">
        <v>12</v>
      </c>
      <c r="E466" s="120">
        <v>46125</v>
      </c>
      <c r="F466" s="168" t="s">
        <v>277</v>
      </c>
      <c r="G466" s="168" t="s">
        <v>1574</v>
      </c>
      <c r="H466" s="96" t="s">
        <v>12</v>
      </c>
      <c r="I466" s="166" t="s">
        <v>609</v>
      </c>
      <c r="J466" s="97" t="s">
        <f>=_xlfn.TEXTJOIN("+",TRUE,_xlfn._xlws.FILTER(_xlfn.TEXTSPLIT(H466,,"+"),(_xlfn.TEXTSPLIT(H466,,"+")&lt;&gt;"埃米工具")*(_xlfn.TEXTSPLIT(H466,,"+")&lt;&gt;"埃米广告通")))</f>
        <v>12</v>
      </c>
      <c r="K466" s="109">
        <f>=EDATE(C466,D466)</f>
        <v>46490</v>
      </c>
      <c r="L466" s="247">
        <v>46126</v>
      </c>
      <c r="M466" s="199" t="s">
        <v>953</v>
      </c>
      <c r="N466" s="199" t="s"/>
      <c r="O466" s="199" t="s"/>
      <c r="P466" s="199" t="s"/>
      <c r="Q466" s="241" t="s"/>
      <c r="R466" s="199" t="s"/>
      <c r="S466" s="199" t="s"/>
      <c r="T466" s="199" t="s"/>
      <c r="U466" s="199" t="s"/>
      <c r="V466" s="199" t="s"/>
      <c r="W466" s="199" t="s"/>
      <c r="X466" s="199" t="s"/>
      <c r="Y466" s="199" t="s"/>
      <c r="Z466" s="200" t="s"/>
      <c r="AA466" s="200" t="s"/>
      <c r="AB466" s="200" t="s"/>
      <c r="AC466" s="200" t="s"/>
      <c r="AD466" s="200" t="s"/>
      <c r="AE466" s="200" t="s"/>
      <c r="AF466" s="200" t="s"/>
      <c r="AG466" s="200" t="s"/>
      <c r="AH466" s="200" t="s"/>
      <c r="AI466" s="200" t="s"/>
      <c r="AJ466" s="200" t="s"/>
      <c r="AK466" s="200" t="s"/>
      <c r="AL466" s="200" t="s"/>
      <c r="AM466" s="200" t="s"/>
    </row>
    <row r="467" spans="1:39" s="431" customFormat="true">
      <c r="A467" s="248">
        <v>466</v>
      </c>
      <c r="B467" s="249" t="s">
        <v>1575</v>
      </c>
      <c r="C467" s="250">
        <v>46125.6865046296</v>
      </c>
      <c r="D467" s="251">
        <v>12</v>
      </c>
      <c r="E467" s="252">
        <v>46125</v>
      </c>
      <c r="F467" s="168" t="s">
        <v>638</v>
      </c>
      <c r="G467" s="249" t="s">
        <v>1576</v>
      </c>
      <c r="H467" s="253" t="s">
        <v>12</v>
      </c>
      <c r="I467" s="254" t="s">
        <v>609</v>
      </c>
      <c r="J467" s="97" t="s">
        <f>=_xlfn.TEXTJOIN("+",TRUE,_xlfn._xlws.FILTER(_xlfn.TEXTSPLIT(H467,,"+"),(_xlfn.TEXTSPLIT(H467,,"+")&lt;&gt;"埃米工具")*(_xlfn.TEXTSPLIT(H467,,"+")&lt;&gt;"埃米广告通")))</f>
        <v>12</v>
      </c>
      <c r="K467" s="255">
        <f>=EDATE(C467,D467)</f>
        <v>46490</v>
      </c>
      <c r="L467" s="199" t="s"/>
      <c r="M467" s="199" t="s"/>
      <c r="N467" s="199" t="s"/>
      <c r="O467" s="199" t="s"/>
      <c r="P467" s="199" t="s"/>
      <c r="Q467" s="241" t="s"/>
      <c r="R467" s="199" t="s"/>
      <c r="S467" s="199" t="s"/>
      <c r="T467" s="199" t="s"/>
      <c r="U467" s="199" t="s"/>
      <c r="V467" s="199" t="s"/>
      <c r="W467" s="199" t="s"/>
      <c r="X467" s="199" t="s"/>
      <c r="Y467" s="199" t="s"/>
      <c r="Z467" s="200" t="s"/>
      <c r="AA467" s="200" t="s"/>
      <c r="AB467" s="200" t="s"/>
      <c r="AC467" s="200" t="s"/>
      <c r="AD467" s="200" t="s"/>
      <c r="AE467" s="200" t="s"/>
      <c r="AF467" s="200" t="s"/>
      <c r="AG467" s="200" t="s"/>
      <c r="AH467" s="200" t="s"/>
      <c r="AI467" s="200" t="s"/>
      <c r="AJ467" s="200" t="s"/>
      <c r="AK467" s="200" t="s"/>
      <c r="AL467" s="200" t="s"/>
      <c r="AM467" s="200" t="s"/>
    </row>
    <row r="468" spans="1:39" s="431" customFormat="true">
      <c r="A468" s="97">
        <v>467</v>
      </c>
      <c r="B468" s="239" t="s">
        <v>1577</v>
      </c>
      <c r="C468" s="240">
        <v>46125.6749537037</v>
      </c>
      <c r="D468" s="167">
        <v>12</v>
      </c>
      <c r="E468" s="120">
        <v>46125</v>
      </c>
      <c r="F468" s="256" t="s">
        <v>277</v>
      </c>
      <c r="G468" s="239" t="s">
        <v>1578</v>
      </c>
      <c r="H468" s="96" t="s">
        <v>607</v>
      </c>
      <c r="I468" s="166" t="s">
        <v>609</v>
      </c>
      <c r="J468" s="97" t="s">
        <f>=_xlfn.TEXTJOIN("+",TRUE,_xlfn._xlws.FILTER(_xlfn.TEXTSPLIT(H468,,"+"),(_xlfn.TEXTSPLIT(H468,,"+")&lt;&gt;"埃米工具")*(_xlfn.TEXTSPLIT(H468,,"+")&lt;&gt;"埃米广告通")))</f>
        <v>607</v>
      </c>
      <c r="K468" s="109">
        <f>=EDATE(C468,D468)</f>
        <v>46490</v>
      </c>
      <c r="L468" s="199" t="s"/>
      <c r="M468" s="199" t="s"/>
      <c r="N468" s="199" t="s"/>
      <c r="O468" s="168" t="s">
        <v>1529</v>
      </c>
      <c r="P468" s="199" t="s"/>
      <c r="Q468" s="241" t="s"/>
      <c r="R468" s="199" t="s"/>
      <c r="S468" s="199" t="s"/>
      <c r="T468" s="199" t="s"/>
      <c r="U468" s="199" t="s"/>
      <c r="V468" s="199" t="s"/>
      <c r="W468" s="199" t="s"/>
      <c r="X468" s="199" t="s"/>
      <c r="Y468" s="199" t="s"/>
      <c r="Z468" s="200" t="s"/>
      <c r="AA468" s="200" t="s"/>
      <c r="AB468" s="200" t="s"/>
      <c r="AC468" s="200" t="s"/>
      <c r="AD468" s="200" t="s"/>
      <c r="AE468" s="200" t="s"/>
      <c r="AF468" s="200" t="s"/>
      <c r="AG468" s="200" t="s"/>
      <c r="AH468" s="200" t="s"/>
      <c r="AI468" s="200" t="s"/>
      <c r="AJ468" s="200" t="s"/>
      <c r="AK468" s="200" t="s"/>
      <c r="AL468" s="200" t="s"/>
      <c r="AM468" s="200" t="s"/>
    </row>
    <row r="469" spans="1:39" s="431" customFormat="true">
      <c r="A469" s="97">
        <v>468</v>
      </c>
      <c r="B469" s="239" t="s">
        <v>1579</v>
      </c>
      <c r="C469" s="240">
        <v>46125.6984606482</v>
      </c>
      <c r="D469" s="167">
        <v>12</v>
      </c>
      <c r="E469" s="120">
        <v>46125</v>
      </c>
      <c r="F469" s="168" t="s">
        <v>242</v>
      </c>
      <c r="G469" s="239" t="s">
        <v>1580</v>
      </c>
      <c r="H469" s="96" t="s">
        <v>607</v>
      </c>
      <c r="I469" s="166" t="s">
        <v>609</v>
      </c>
      <c r="J469" s="97" t="s">
        <f>=_xlfn.TEXTJOIN("+",TRUE,_xlfn._xlws.FILTER(_xlfn.TEXTSPLIT(H469,,"+"),(_xlfn.TEXTSPLIT(H469,,"+")&lt;&gt;"埃米工具")*(_xlfn.TEXTSPLIT(H469,,"+")&lt;&gt;"埃米广告通")))</f>
        <v>607</v>
      </c>
      <c r="K469" s="109">
        <f>=EDATE(C469,D469)</f>
        <v>46490</v>
      </c>
      <c r="L469" s="199" t="s"/>
      <c r="M469" s="199" t="s"/>
      <c r="N469" s="199" t="s"/>
      <c r="O469" s="199" t="s"/>
      <c r="P469" s="199" t="s"/>
      <c r="Q469" s="241" t="s"/>
      <c r="R469" s="199" t="s"/>
      <c r="S469" s="199" t="s"/>
      <c r="T469" s="199" t="s"/>
      <c r="U469" s="199" t="s"/>
      <c r="V469" s="199" t="s"/>
      <c r="W469" s="199" t="s"/>
      <c r="X469" s="199" t="s"/>
      <c r="Y469" s="199" t="s"/>
      <c r="Z469" s="200" t="s"/>
      <c r="AA469" s="200" t="s"/>
      <c r="AB469" s="200" t="s"/>
      <c r="AC469" s="200" t="s"/>
      <c r="AD469" s="200" t="s"/>
      <c r="AE469" s="200" t="s"/>
      <c r="AF469" s="200" t="s"/>
      <c r="AG469" s="200" t="s"/>
      <c r="AH469" s="200" t="s"/>
      <c r="AI469" s="200" t="s"/>
      <c r="AJ469" s="200" t="s"/>
      <c r="AK469" s="200" t="s"/>
      <c r="AL469" s="200" t="s"/>
      <c r="AM469" s="200" t="s"/>
    </row>
    <row r="470" spans="1:39" s="431" customFormat="true">
      <c r="A470" s="97">
        <v>469</v>
      </c>
      <c r="B470" s="239" t="s">
        <v>1581</v>
      </c>
      <c r="C470" s="240">
        <v>46125.6958217593</v>
      </c>
      <c r="D470" s="167">
        <v>12</v>
      </c>
      <c r="E470" s="120">
        <v>46125</v>
      </c>
      <c r="F470" s="168" t="s">
        <v>239</v>
      </c>
      <c r="G470" s="239" t="s">
        <v>1582</v>
      </c>
      <c r="H470" s="96" t="s">
        <v>12</v>
      </c>
      <c r="I470" s="166" t="s">
        <v>609</v>
      </c>
      <c r="J470" s="97" t="s">
        <f>=_xlfn.TEXTJOIN("+",TRUE,_xlfn._xlws.FILTER(_xlfn.TEXTSPLIT(H470,,"+"),(_xlfn.TEXTSPLIT(H470,,"+")&lt;&gt;"埃米工具")*(_xlfn.TEXTSPLIT(H470,,"+")&lt;&gt;"埃米广告通")))</f>
        <v>12</v>
      </c>
      <c r="K470" s="109">
        <f>=EDATE(C470,D470)</f>
        <v>46490</v>
      </c>
      <c r="L470" s="199" t="s"/>
      <c r="M470" s="199" t="s"/>
      <c r="N470" s="199" t="s"/>
      <c r="O470" s="199" t="s"/>
      <c r="P470" s="199" t="s"/>
      <c r="Q470" s="241" t="s"/>
      <c r="R470" s="199" t="s"/>
      <c r="S470" s="199" t="s"/>
      <c r="T470" s="199" t="s"/>
      <c r="U470" s="199" t="s"/>
      <c r="V470" s="199" t="s"/>
      <c r="W470" s="199" t="s"/>
      <c r="X470" s="199" t="s"/>
      <c r="Y470" s="199" t="s"/>
      <c r="Z470" s="200" t="s"/>
      <c r="AA470" s="200" t="s"/>
      <c r="AB470" s="200" t="s"/>
      <c r="AC470" s="200" t="s"/>
      <c r="AD470" s="200" t="s"/>
      <c r="AE470" s="200" t="s"/>
      <c r="AF470" s="200" t="s"/>
      <c r="AG470" s="200" t="s"/>
      <c r="AH470" s="200" t="s"/>
      <c r="AI470" s="200" t="s"/>
      <c r="AJ470" s="200" t="s"/>
      <c r="AK470" s="200" t="s"/>
      <c r="AL470" s="200" t="s"/>
      <c r="AM470" s="200" t="s"/>
    </row>
    <row r="471" spans="1:39" s="431" customFormat="true">
      <c r="A471" s="231">
        <v>470</v>
      </c>
      <c r="B471" s="242" t="s">
        <v>1583</v>
      </c>
      <c r="C471" s="243">
        <v>46125.691087963</v>
      </c>
      <c r="D471" s="234">
        <v>12</v>
      </c>
      <c r="E471" s="235">
        <v>46125</v>
      </c>
      <c r="F471" s="236" t="s">
        <v>245</v>
      </c>
      <c r="G471" s="242" t="s">
        <v>1584</v>
      </c>
      <c r="H471" s="237" t="s">
        <v>12</v>
      </c>
      <c r="I471" s="238" t="s">
        <v>609</v>
      </c>
      <c r="J471" s="97" t="s">
        <f>=_xlfn.TEXTJOIN("+",TRUE,_xlfn._xlws.FILTER(_xlfn.TEXTSPLIT(H471,,"+"),(_xlfn.TEXTSPLIT(H471,,"+")&lt;&gt;"埃米工具")*(_xlfn.TEXTSPLIT(H471,,"+")&lt;&gt;"埃米广告通")))</f>
        <v>12</v>
      </c>
      <c r="K471" s="215">
        <f>=EDATE(C471,D471)</f>
        <v>46490</v>
      </c>
      <c r="L471" s="199" t="s"/>
      <c r="M471" s="199" t="s"/>
      <c r="N471" s="199" t="s"/>
      <c r="O471" s="199" t="s"/>
      <c r="P471" s="199" t="s"/>
      <c r="Q471" s="241" t="s"/>
      <c r="R471" s="199" t="s"/>
      <c r="S471" s="199" t="s"/>
      <c r="T471" s="199" t="s"/>
      <c r="U471" s="199" t="s"/>
      <c r="V471" s="199" t="s"/>
      <c r="W471" s="199" t="s"/>
      <c r="X471" s="199" t="s"/>
      <c r="Y471" s="199" t="s"/>
      <c r="Z471" s="200" t="s"/>
      <c r="AA471" s="200" t="s"/>
      <c r="AB471" s="200" t="s"/>
      <c r="AC471" s="200" t="s"/>
      <c r="AD471" s="200" t="s"/>
      <c r="AE471" s="200" t="s"/>
      <c r="AF471" s="200" t="s"/>
      <c r="AG471" s="200" t="s"/>
      <c r="AH471" s="200" t="s"/>
      <c r="AI471" s="200" t="s"/>
      <c r="AJ471" s="200" t="s"/>
      <c r="AK471" s="200" t="s"/>
      <c r="AL471" s="200" t="s"/>
      <c r="AM471" s="200" t="s"/>
    </row>
    <row r="472" spans="1:39" s="431" customFormat="true">
      <c r="A472" s="97">
        <v>471</v>
      </c>
      <c r="B472" s="239" t="s">
        <v>1585</v>
      </c>
      <c r="C472" s="240">
        <v>46125.7736111111</v>
      </c>
      <c r="D472" s="167">
        <v>12</v>
      </c>
      <c r="E472" s="118">
        <v>46126</v>
      </c>
      <c r="F472" s="168" t="s">
        <v>638</v>
      </c>
      <c r="G472" s="239" t="s">
        <v>1586</v>
      </c>
      <c r="H472" s="96" t="s">
        <v>607</v>
      </c>
      <c r="I472" s="166" t="s">
        <v>609</v>
      </c>
      <c r="J472" s="97" t="s">
        <f>=_xlfn.TEXTJOIN("+",TRUE,_xlfn._xlws.FILTER(_xlfn.TEXTSPLIT(H472,,"+"),(_xlfn.TEXTSPLIT(H472,,"+")&lt;&gt;"埃米工具")*(_xlfn.TEXTSPLIT(H472,,"+")&lt;&gt;"埃米广告通")))</f>
        <v>607</v>
      </c>
      <c r="K472" s="109">
        <f>=EDATE(C472,D472)</f>
        <v>46490</v>
      </c>
      <c r="L472" s="199" t="s"/>
      <c r="M472" s="199" t="s"/>
      <c r="N472" s="199" t="s"/>
      <c r="O472" s="199" t="s"/>
      <c r="P472" s="199" t="s"/>
      <c r="Q472" s="241" t="s"/>
      <c r="R472" s="199" t="s"/>
      <c r="S472" s="199" t="s"/>
      <c r="T472" s="199" t="s"/>
      <c r="U472" s="199" t="s"/>
      <c r="V472" s="199" t="s"/>
      <c r="W472" s="199" t="s"/>
      <c r="X472" s="199" t="s"/>
      <c r="Y472" s="199" t="s"/>
      <c r="Z472" s="200" t="s"/>
      <c r="AA472" s="200" t="s"/>
      <c r="AB472" s="200" t="s"/>
      <c r="AC472" s="200" t="s"/>
      <c r="AD472" s="200" t="s"/>
      <c r="AE472" s="200" t="s"/>
      <c r="AF472" s="200" t="s"/>
      <c r="AG472" s="200" t="s"/>
      <c r="AH472" s="200" t="s"/>
      <c r="AI472" s="200" t="s"/>
      <c r="AJ472" s="200" t="s"/>
      <c r="AK472" s="200" t="s"/>
      <c r="AL472" s="200" t="s"/>
      <c r="AM472" s="200" t="s"/>
    </row>
    <row r="473" spans="1:39" s="431" customFormat="true">
      <c r="A473" s="231">
        <v>472</v>
      </c>
      <c r="B473" s="242" t="s">
        <v>1587</v>
      </c>
      <c r="C473" s="243">
        <v>46125.7662384259</v>
      </c>
      <c r="D473" s="234">
        <v>12</v>
      </c>
      <c r="E473" s="235">
        <v>46126</v>
      </c>
      <c r="F473" s="236" t="s">
        <v>242</v>
      </c>
      <c r="G473" s="242" t="s">
        <v>1588</v>
      </c>
      <c r="H473" s="237" t="s">
        <v>607</v>
      </c>
      <c r="I473" s="238" t="s">
        <v>609</v>
      </c>
      <c r="J473" s="231" t="s">
        <f>=_xlfn.TEXTJOIN("+",TRUE,_xlfn._xlws.FILTER(_xlfn.TEXTSPLIT(H473,,"+"),(_xlfn.TEXTSPLIT(H473,,"+")&lt;&gt;"埃米工具")*(_xlfn.TEXTSPLIT(H473,,"+")&lt;&gt;"埃米广告通")))</f>
        <v>607</v>
      </c>
      <c r="K473" s="215">
        <f>=EDATE(C473,D473)</f>
        <v>46490</v>
      </c>
      <c r="L473" s="199" t="s"/>
      <c r="M473" s="199" t="s"/>
      <c r="N473" s="199" t="s"/>
      <c r="O473" s="199" t="s"/>
      <c r="P473" s="199" t="s"/>
      <c r="Q473" s="241" t="s"/>
      <c r="R473" s="199" t="s"/>
      <c r="S473" s="199" t="s"/>
      <c r="T473" s="199" t="s"/>
      <c r="U473" s="199" t="s"/>
      <c r="V473" s="199" t="s"/>
      <c r="W473" s="199" t="s"/>
      <c r="X473" s="199" t="s"/>
      <c r="Y473" s="199" t="s"/>
      <c r="Z473" s="200" t="s"/>
      <c r="AA473" s="200" t="s"/>
      <c r="AB473" s="200" t="s"/>
      <c r="AC473" s="200" t="s"/>
      <c r="AD473" s="200" t="s"/>
      <c r="AE473" s="200" t="s"/>
      <c r="AF473" s="200" t="s"/>
      <c r="AG473" s="200" t="s"/>
      <c r="AH473" s="200" t="s"/>
      <c r="AI473" s="200" t="s"/>
      <c r="AJ473" s="200" t="s"/>
      <c r="AK473" s="200" t="s"/>
      <c r="AL473" s="200" t="s"/>
      <c r="AM473" s="200" t="s"/>
    </row>
    <row r="474" spans="1:39" s="431" customFormat="true">
      <c r="A474" s="97">
        <v>473</v>
      </c>
      <c r="B474" s="239" t="s">
        <v>1589</v>
      </c>
      <c r="C474" s="240">
        <v>46125.7408217593</v>
      </c>
      <c r="D474" s="167">
        <v>12</v>
      </c>
      <c r="E474" s="120">
        <v>46126</v>
      </c>
      <c r="F474" s="168" t="s">
        <v>245</v>
      </c>
      <c r="G474" s="239" t="s">
        <v>1590</v>
      </c>
      <c r="H474" s="96" t="s">
        <v>12</v>
      </c>
      <c r="I474" s="166" t="s">
        <v>609</v>
      </c>
      <c r="J474" s="97" t="s">
        <f>=_xlfn.TEXTJOIN("+",TRUE,_xlfn._xlws.FILTER(_xlfn.TEXTSPLIT(H474,,"+"),(_xlfn.TEXTSPLIT(H474,,"+")&lt;&gt;"埃米工具")*(_xlfn.TEXTSPLIT(H474,,"+")&lt;&gt;"埃米广告通")))</f>
        <v>12</v>
      </c>
      <c r="K474" s="109">
        <f>=EDATE(C474,D474)</f>
        <v>46490</v>
      </c>
      <c r="L474" s="199" t="s"/>
      <c r="M474" s="199" t="s"/>
      <c r="N474" s="199" t="s"/>
      <c r="O474" s="199" t="s"/>
      <c r="P474" s="199" t="s"/>
      <c r="Q474" s="241" t="s"/>
      <c r="R474" s="199" t="s"/>
      <c r="S474" s="199" t="s"/>
      <c r="T474" s="199" t="s"/>
      <c r="U474" s="199" t="s"/>
      <c r="V474" s="199" t="s"/>
      <c r="W474" s="199" t="s"/>
      <c r="X474" s="199" t="s"/>
      <c r="Y474" s="199" t="s"/>
      <c r="Z474" s="200" t="s"/>
      <c r="AA474" s="200" t="s"/>
      <c r="AB474" s="200" t="s"/>
      <c r="AC474" s="200" t="s"/>
      <c r="AD474" s="200" t="s"/>
      <c r="AE474" s="200" t="s"/>
      <c r="AF474" s="200" t="s"/>
      <c r="AG474" s="200" t="s"/>
      <c r="AH474" s="200" t="s"/>
      <c r="AI474" s="200" t="s"/>
      <c r="AJ474" s="200" t="s"/>
      <c r="AK474" s="200" t="s"/>
      <c r="AL474" s="200" t="s"/>
      <c r="AM474" s="200" t="s"/>
    </row>
    <row r="475" spans="1:39" s="431" customFormat="true">
      <c r="A475" s="97">
        <v>474</v>
      </c>
      <c r="B475" s="166" t="s">
        <v>1591</v>
      </c>
      <c r="C475" s="162">
        <v>46126.4452314815</v>
      </c>
      <c r="D475" s="167">
        <v>12</v>
      </c>
      <c r="E475" s="120">
        <v>46126</v>
      </c>
      <c r="F475" s="168" t="s"/>
      <c r="G475" s="168" t="s">
        <v>1592</v>
      </c>
      <c r="H475" s="96" t="s">
        <v>607</v>
      </c>
      <c r="I475" s="166" t="s">
        <v>609</v>
      </c>
      <c r="J475" s="97" t="s">
        <f>=_xlfn.TEXTJOIN("+",TRUE,_xlfn._xlws.FILTER(_xlfn.TEXTSPLIT(H475,,"+"),(_xlfn.TEXTSPLIT(H475,,"+")&lt;&gt;"埃米工具")*(_xlfn.TEXTSPLIT(H475,,"+")&lt;&gt;"埃米广告通")))</f>
        <v>607</v>
      </c>
      <c r="K475" s="109">
        <f>=EDATE(C475,D475)</f>
        <v>46491</v>
      </c>
      <c r="L475" s="199" t="s"/>
      <c r="M475" s="199" t="s"/>
      <c r="N475" s="199" t="s"/>
      <c r="O475" s="199" t="s"/>
      <c r="P475" s="199" t="s"/>
      <c r="Q475" s="241" t="s"/>
      <c r="R475" s="199" t="s"/>
      <c r="S475" s="199" t="s"/>
      <c r="T475" s="199" t="s"/>
      <c r="U475" s="199" t="s"/>
      <c r="V475" s="199" t="s"/>
      <c r="W475" s="199" t="s"/>
      <c r="X475" s="199" t="s"/>
      <c r="Y475" s="199" t="s"/>
      <c r="Z475" s="200" t="s"/>
      <c r="AA475" s="200" t="s"/>
      <c r="AB475" s="200" t="s"/>
      <c r="AC475" s="200" t="s"/>
      <c r="AD475" s="200" t="s"/>
      <c r="AE475" s="200" t="s"/>
      <c r="AF475" s="200" t="s"/>
      <c r="AG475" s="200" t="s"/>
      <c r="AH475" s="200" t="s"/>
      <c r="AI475" s="200" t="s"/>
      <c r="AJ475" s="200" t="s"/>
      <c r="AK475" s="200" t="s"/>
      <c r="AL475" s="200" t="s"/>
      <c r="AM475" s="200" t="s"/>
    </row>
    <row r="476" spans="1:39" s="431" customFormat="true">
      <c r="A476" s="200" t="s"/>
      <c r="B476" s="257" t="s"/>
      <c r="C476" s="258" t="s"/>
      <c r="D476" s="259" t="s"/>
      <c r="E476" s="260" t="s"/>
      <c r="F476" s="199" t="s"/>
      <c r="G476" s="199" t="s"/>
      <c r="H476" s="253" t="s"/>
      <c r="I476" s="261" t="s"/>
      <c r="J476" s="248" t="s">
        <f>=_xlfn.TEXTJOIN("+",TRUE,_xlfn._xlws.FILTER(_xlfn.TEXTSPLIT(H476,,"+"),(_xlfn.TEXTSPLIT(H476,,"+")&lt;&gt;"埃米工具")*(_xlfn.TEXTSPLIT(H476,,"+")&lt;&gt;"埃米广告通")))</f>
      </c>
      <c r="K476" s="262" t="s"/>
      <c r="L476" s="199" t="s"/>
      <c r="M476" s="199" t="s"/>
      <c r="N476" s="199" t="s"/>
      <c r="O476" s="199" t="s"/>
      <c r="P476" s="199" t="s"/>
      <c r="Q476" s="241" t="s"/>
      <c r="R476" s="199" t="s"/>
      <c r="S476" s="199" t="s"/>
      <c r="T476" s="199" t="s"/>
      <c r="U476" s="199" t="s"/>
      <c r="V476" s="199" t="s"/>
      <c r="W476" s="199" t="s"/>
      <c r="X476" s="199" t="s"/>
      <c r="Y476" s="199" t="s"/>
      <c r="Z476" s="200" t="s"/>
      <c r="AA476" s="200" t="s"/>
      <c r="AB476" s="200" t="s"/>
      <c r="AC476" s="200" t="s"/>
      <c r="AD476" s="200" t="s"/>
      <c r="AE476" s="200" t="s"/>
      <c r="AF476" s="200" t="s"/>
      <c r="AG476" s="200" t="s"/>
      <c r="AH476" s="200" t="s"/>
      <c r="AI476" s="200" t="s"/>
      <c r="AJ476" s="200" t="s"/>
      <c r="AK476" s="200" t="s"/>
      <c r="AL476" s="200" t="s"/>
      <c r="AM476" s="200" t="s"/>
    </row>
    <row r="477" spans="1:39" s="431" customFormat="true">
      <c r="A477" s="200" t="s"/>
      <c r="B477" s="257" t="s"/>
      <c r="C477" s="258" t="s"/>
      <c r="D477" s="259" t="s"/>
      <c r="E477" s="260" t="s"/>
      <c r="F477" s="199" t="s"/>
      <c r="G477" s="199" t="s"/>
      <c r="H477" s="96" t="s"/>
      <c r="I477" s="257" t="s"/>
      <c r="J477" s="97" t="s">
        <f>=_xlfn.TEXTJOIN("+",TRUE,_xlfn._xlws.FILTER(_xlfn.TEXTSPLIT(H477,,"+"),(_xlfn.TEXTSPLIT(H477,,"+")&lt;&gt;"埃米工具")*(_xlfn.TEXTSPLIT(H477,,"+")&lt;&gt;"埃米广告通")))</f>
      </c>
      <c r="K477" s="262" t="s"/>
      <c r="L477" s="199" t="s"/>
      <c r="M477" s="199" t="s"/>
      <c r="N477" s="199" t="s"/>
      <c r="O477" s="199" t="s"/>
      <c r="P477" s="199" t="s"/>
      <c r="Q477" s="241" t="s"/>
      <c r="R477" s="199" t="s"/>
      <c r="S477" s="199" t="s"/>
      <c r="T477" s="199" t="s"/>
      <c r="U477" s="199" t="s"/>
      <c r="V477" s="199" t="s"/>
      <c r="W477" s="199" t="s"/>
      <c r="X477" s="199" t="s"/>
      <c r="Y477" s="199" t="s"/>
      <c r="Z477" s="200" t="s"/>
      <c r="AA477" s="200" t="s"/>
      <c r="AB477" s="200" t="s"/>
      <c r="AC477" s="200" t="s"/>
      <c r="AD477" s="200" t="s"/>
      <c r="AE477" s="200" t="s"/>
      <c r="AF477" s="200" t="s"/>
      <c r="AG477" s="200" t="s"/>
      <c r="AH477" s="200" t="s"/>
      <c r="AI477" s="200" t="s"/>
      <c r="AJ477" s="200" t="s"/>
      <c r="AK477" s="200" t="s"/>
      <c r="AL477" s="200" t="s"/>
      <c r="AM477" s="200" t="s"/>
    </row>
    <row r="478" spans="1:39" s="431" customFormat="true">
      <c r="A478" s="200" t="s"/>
      <c r="B478" s="257" t="s"/>
      <c r="C478" s="258" t="s"/>
      <c r="D478" s="259" t="s"/>
      <c r="E478" s="260" t="s"/>
      <c r="F478" s="199" t="s"/>
      <c r="G478" s="199" t="s"/>
      <c r="H478" s="96" t="s"/>
      <c r="I478" s="257" t="s"/>
      <c r="J478" s="97" t="s">
        <f>=_xlfn.TEXTJOIN("+",TRUE,_xlfn._xlws.FILTER(_xlfn.TEXTSPLIT(H478,,"+"),(_xlfn.TEXTSPLIT(H478,,"+")&lt;&gt;"埃米工具")*(_xlfn.TEXTSPLIT(H478,,"+")&lt;&gt;"埃米广告通")))</f>
      </c>
      <c r="K478" s="262" t="s"/>
      <c r="L478" s="199" t="s"/>
      <c r="M478" s="199" t="s"/>
      <c r="N478" s="199" t="s"/>
      <c r="O478" s="199" t="s"/>
      <c r="P478" s="199" t="s"/>
      <c r="Q478" s="241" t="s"/>
      <c r="R478" s="199" t="s"/>
      <c r="S478" s="199" t="s"/>
      <c r="T478" s="199" t="s"/>
      <c r="U478" s="199" t="s"/>
      <c r="V478" s="199" t="s"/>
      <c r="W478" s="199" t="s"/>
      <c r="X478" s="199" t="s"/>
      <c r="Y478" s="199" t="s"/>
      <c r="Z478" s="200" t="s"/>
      <c r="AA478" s="200" t="s"/>
      <c r="AB478" s="200" t="s"/>
      <c r="AC478" s="200" t="s"/>
      <c r="AD478" s="200" t="s"/>
      <c r="AE478" s="200" t="s"/>
      <c r="AF478" s="200" t="s"/>
      <c r="AG478" s="200" t="s"/>
      <c r="AH478" s="200" t="s"/>
      <c r="AI478" s="200" t="s"/>
      <c r="AJ478" s="200" t="s"/>
      <c r="AK478" s="200" t="s"/>
      <c r="AL478" s="200" t="s"/>
      <c r="AM478" s="200" t="s"/>
    </row>
    <row r="479" spans="1:39" s="431" customFormat="true">
      <c r="A479" s="200" t="s"/>
      <c r="B479" s="257" t="s"/>
      <c r="C479" s="258" t="s"/>
      <c r="D479" s="259" t="s"/>
      <c r="E479" s="260" t="s"/>
      <c r="F479" s="199" t="s"/>
      <c r="G479" s="199" t="s"/>
      <c r="H479" s="96" t="s"/>
      <c r="I479" s="257" t="s"/>
      <c r="J479" s="97" t="s">
        <f>=_xlfn.TEXTJOIN("+",TRUE,_xlfn._xlws.FILTER(_xlfn.TEXTSPLIT(H479,,"+"),(_xlfn.TEXTSPLIT(H479,,"+")&lt;&gt;"埃米工具")*(_xlfn.TEXTSPLIT(H479,,"+")&lt;&gt;"埃米广告通")))</f>
      </c>
      <c r="K479" s="262" t="s"/>
      <c r="L479" s="199" t="s"/>
      <c r="M479" s="199" t="s"/>
      <c r="N479" s="199" t="s"/>
      <c r="O479" s="199" t="s"/>
      <c r="P479" s="199" t="s"/>
      <c r="Q479" s="241" t="s"/>
      <c r="R479" s="199" t="s"/>
      <c r="S479" s="199" t="s"/>
      <c r="T479" s="199" t="s"/>
      <c r="U479" s="199" t="s"/>
      <c r="V479" s="199" t="s"/>
      <c r="W479" s="199" t="s"/>
      <c r="X479" s="199" t="s"/>
      <c r="Y479" s="199" t="s"/>
      <c r="Z479" s="200" t="s"/>
      <c r="AA479" s="200" t="s"/>
      <c r="AB479" s="200" t="s"/>
      <c r="AC479" s="200" t="s"/>
      <c r="AD479" s="200" t="s"/>
      <c r="AE479" s="200" t="s"/>
      <c r="AF479" s="200" t="s"/>
      <c r="AG479" s="200" t="s"/>
      <c r="AH479" s="200" t="s"/>
      <c r="AI479" s="200" t="s"/>
      <c r="AJ479" s="200" t="s"/>
      <c r="AK479" s="200" t="s"/>
      <c r="AL479" s="200" t="s"/>
      <c r="AM479" s="200" t="s"/>
    </row>
    <row r="480" spans="1:39" s="431" customFormat="true">
      <c r="A480" s="200" t="s"/>
      <c r="B480" s="257" t="s"/>
      <c r="C480" s="258" t="s"/>
      <c r="D480" s="259" t="s"/>
      <c r="E480" s="260" t="s"/>
      <c r="F480" s="199" t="s"/>
      <c r="G480" s="199" t="s"/>
      <c r="H480" s="96" t="s"/>
      <c r="I480" s="257" t="s"/>
      <c r="J480" s="97" t="s">
        <f>=_xlfn.TEXTJOIN("+",TRUE,_xlfn._xlws.FILTER(_xlfn.TEXTSPLIT(H480,,"+"),(_xlfn.TEXTSPLIT(H480,,"+")&lt;&gt;"埃米工具")*(_xlfn.TEXTSPLIT(H480,,"+")&lt;&gt;"埃米广告通")))</f>
      </c>
      <c r="K480" s="262" t="s"/>
      <c r="L480" s="199" t="s"/>
      <c r="M480" s="199" t="s"/>
      <c r="N480" s="199" t="s"/>
      <c r="O480" s="199" t="s"/>
      <c r="P480" s="199" t="s"/>
      <c r="Q480" s="241" t="s"/>
      <c r="R480" s="199" t="s"/>
      <c r="S480" s="199" t="s"/>
      <c r="T480" s="199" t="s"/>
      <c r="U480" s="199" t="s"/>
      <c r="V480" s="199" t="s"/>
      <c r="W480" s="199" t="s"/>
      <c r="X480" s="199" t="s"/>
      <c r="Y480" s="199" t="s"/>
      <c r="Z480" s="200" t="s"/>
      <c r="AA480" s="200" t="s"/>
      <c r="AB480" s="200" t="s"/>
      <c r="AC480" s="200" t="s"/>
      <c r="AD480" s="200" t="s"/>
      <c r="AE480" s="200" t="s"/>
      <c r="AF480" s="200" t="s"/>
      <c r="AG480" s="200" t="s"/>
      <c r="AH480" s="200" t="s"/>
      <c r="AI480" s="200" t="s"/>
      <c r="AJ480" s="200" t="s"/>
      <c r="AK480" s="200" t="s"/>
      <c r="AL480" s="200" t="s"/>
      <c r="AM480" s="200" t="s"/>
    </row>
    <row r="481" spans="1:39" s="431" customFormat="true">
      <c r="A481" s="200" t="s"/>
      <c r="B481" s="257" t="s"/>
      <c r="C481" s="258" t="s"/>
      <c r="D481" s="259" t="s"/>
      <c r="E481" s="260" t="s"/>
      <c r="F481" s="199" t="s"/>
      <c r="G481" s="199" t="s"/>
      <c r="H481" s="96" t="s"/>
      <c r="I481" s="257" t="s"/>
      <c r="J481" s="97" t="s">
        <f>=_xlfn.TEXTJOIN("+",TRUE,_xlfn._xlws.FILTER(_xlfn.TEXTSPLIT(H481,,"+"),(_xlfn.TEXTSPLIT(H481,,"+")&lt;&gt;"埃米工具")*(_xlfn.TEXTSPLIT(H481,,"+")&lt;&gt;"埃米广告通")))</f>
      </c>
      <c r="K481" s="262" t="s"/>
      <c r="L481" s="199" t="s"/>
      <c r="M481" s="199" t="s"/>
      <c r="N481" s="199" t="s"/>
      <c r="O481" s="199" t="s"/>
      <c r="P481" s="199" t="s"/>
      <c r="Q481" s="241" t="s"/>
      <c r="R481" s="199" t="s"/>
      <c r="S481" s="199" t="s"/>
      <c r="T481" s="199" t="s"/>
      <c r="U481" s="199" t="s"/>
      <c r="V481" s="199" t="s"/>
      <c r="W481" s="199" t="s"/>
      <c r="X481" s="199" t="s"/>
      <c r="Y481" s="199" t="s"/>
      <c r="Z481" s="200" t="s"/>
      <c r="AA481" s="200" t="s"/>
      <c r="AB481" s="200" t="s"/>
      <c r="AC481" s="200" t="s"/>
      <c r="AD481" s="200" t="s"/>
      <c r="AE481" s="200" t="s"/>
      <c r="AF481" s="200" t="s"/>
      <c r="AG481" s="200" t="s"/>
      <c r="AH481" s="200" t="s"/>
      <c r="AI481" s="200" t="s"/>
      <c r="AJ481" s="200" t="s"/>
      <c r="AK481" s="200" t="s"/>
      <c r="AL481" s="200" t="s"/>
      <c r="AM481" s="200" t="s"/>
    </row>
    <row r="482" spans="1:39" s="431" customFormat="true">
      <c r="A482" s="200" t="s"/>
      <c r="B482" s="257" t="s"/>
      <c r="C482" s="258" t="s"/>
      <c r="D482" s="259" t="s"/>
      <c r="E482" s="260" t="s"/>
      <c r="F482" s="199" t="s"/>
      <c r="G482" s="199" t="s"/>
      <c r="H482" s="96" t="s"/>
      <c r="I482" s="257" t="s"/>
      <c r="J482" s="97" t="s">
        <f>=_xlfn.TEXTJOIN("+",TRUE,_xlfn._xlws.FILTER(_xlfn.TEXTSPLIT(H482,,"+"),(_xlfn.TEXTSPLIT(H482,,"+")&lt;&gt;"埃米工具")*(_xlfn.TEXTSPLIT(H482,,"+")&lt;&gt;"埃米广告通")))</f>
      </c>
      <c r="K482" s="262" t="s"/>
      <c r="L482" s="199" t="s"/>
      <c r="M482" s="199" t="s"/>
      <c r="N482" s="199" t="s"/>
      <c r="O482" s="199" t="s"/>
      <c r="P482" s="199" t="s"/>
      <c r="Q482" s="241" t="s"/>
      <c r="R482" s="199" t="s"/>
      <c r="S482" s="199" t="s"/>
      <c r="T482" s="199" t="s"/>
      <c r="U482" s="199" t="s"/>
      <c r="V482" s="199" t="s"/>
      <c r="W482" s="199" t="s"/>
      <c r="X482" s="199" t="s"/>
      <c r="Y482" s="199" t="s"/>
      <c r="Z482" s="200" t="s"/>
      <c r="AA482" s="200" t="s"/>
      <c r="AB482" s="200" t="s"/>
      <c r="AC482" s="200" t="s"/>
      <c r="AD482" s="200" t="s"/>
      <c r="AE482" s="200" t="s"/>
      <c r="AF482" s="200" t="s"/>
      <c r="AG482" s="200" t="s"/>
      <c r="AH482" s="200" t="s"/>
      <c r="AI482" s="200" t="s"/>
      <c r="AJ482" s="200" t="s"/>
      <c r="AK482" s="200" t="s"/>
      <c r="AL482" s="200" t="s"/>
      <c r="AM482" s="200" t="s"/>
    </row>
    <row r="483" spans="1:39" s="431" customFormat="true">
      <c r="A483" s="200" t="s"/>
      <c r="B483" s="257" t="s"/>
      <c r="C483" s="258" t="s"/>
      <c r="D483" s="259" t="s"/>
      <c r="E483" s="260" t="s"/>
      <c r="F483" s="199" t="s"/>
      <c r="G483" s="199" t="s"/>
      <c r="H483" s="96" t="s"/>
      <c r="I483" s="257" t="s"/>
      <c r="J483" s="97" t="s">
        <f>=_xlfn.TEXTJOIN("+",TRUE,_xlfn._xlws.FILTER(_xlfn.TEXTSPLIT(H483,,"+"),(_xlfn.TEXTSPLIT(H483,,"+")&lt;&gt;"埃米工具")*(_xlfn.TEXTSPLIT(H483,,"+")&lt;&gt;"埃米广告通")))</f>
      </c>
      <c r="K483" s="262" t="s"/>
      <c r="L483" s="199" t="s"/>
      <c r="M483" s="199" t="s"/>
      <c r="N483" s="199" t="s"/>
      <c r="O483" s="199" t="s"/>
      <c r="P483" s="199" t="s"/>
      <c r="Q483" s="241" t="s"/>
      <c r="R483" s="199" t="s"/>
      <c r="S483" s="199" t="s"/>
      <c r="T483" s="199" t="s"/>
      <c r="U483" s="199" t="s"/>
      <c r="V483" s="199" t="s"/>
      <c r="W483" s="199" t="s"/>
      <c r="X483" s="199" t="s"/>
      <c r="Y483" s="199" t="s"/>
      <c r="Z483" s="200" t="s"/>
      <c r="AA483" s="200" t="s"/>
      <c r="AB483" s="200" t="s"/>
      <c r="AC483" s="200" t="s"/>
      <c r="AD483" s="200" t="s"/>
      <c r="AE483" s="200" t="s"/>
      <c r="AF483" s="200" t="s"/>
      <c r="AG483" s="200" t="s"/>
      <c r="AH483" s="200" t="s"/>
      <c r="AI483" s="200" t="s"/>
      <c r="AJ483" s="200" t="s"/>
      <c r="AK483" s="200" t="s"/>
      <c r="AL483" s="200" t="s"/>
      <c r="AM483" s="200" t="s"/>
    </row>
    <row r="484" spans="1:39" s="431" customFormat="true">
      <c r="A484" s="200" t="s"/>
      <c r="B484" s="257" t="s"/>
      <c r="C484" s="258" t="s"/>
      <c r="D484" s="259" t="s"/>
      <c r="E484" s="260" t="s"/>
      <c r="F484" s="199" t="s"/>
      <c r="G484" s="199" t="s"/>
      <c r="H484" s="96" t="s"/>
      <c r="I484" s="257" t="s"/>
      <c r="J484" s="97" t="s">
        <f>=_xlfn.TEXTJOIN("+",TRUE,_xlfn._xlws.FILTER(_xlfn.TEXTSPLIT(H484,,"+"),(_xlfn.TEXTSPLIT(H484,,"+")&lt;&gt;"埃米工具")*(_xlfn.TEXTSPLIT(H484,,"+")&lt;&gt;"埃米广告通")))</f>
      </c>
      <c r="K484" s="262" t="s"/>
      <c r="L484" s="199" t="s"/>
      <c r="M484" s="199" t="s"/>
      <c r="N484" s="199" t="s"/>
      <c r="O484" s="199" t="s"/>
      <c r="P484" s="199" t="s"/>
      <c r="Q484" s="241" t="s"/>
      <c r="R484" s="199" t="s"/>
      <c r="S484" s="199" t="s"/>
      <c r="T484" s="199" t="s"/>
      <c r="U484" s="199" t="s"/>
      <c r="V484" s="199" t="s"/>
      <c r="W484" s="199" t="s"/>
      <c r="X484" s="199" t="s"/>
      <c r="Y484" s="199" t="s"/>
      <c r="Z484" s="200" t="s"/>
      <c r="AA484" s="200" t="s"/>
      <c r="AB484" s="200" t="s"/>
      <c r="AC484" s="200" t="s"/>
      <c r="AD484" s="200" t="s"/>
      <c r="AE484" s="200" t="s"/>
      <c r="AF484" s="200" t="s"/>
      <c r="AG484" s="200" t="s"/>
      <c r="AH484" s="200" t="s"/>
      <c r="AI484" s="200" t="s"/>
      <c r="AJ484" s="200" t="s"/>
      <c r="AK484" s="200" t="s"/>
      <c r="AL484" s="200" t="s"/>
      <c r="AM484" s="200" t="s"/>
    </row>
    <row r="485" spans="1:39" s="431" customFormat="true">
      <c r="A485" s="200" t="s"/>
      <c r="B485" s="257" t="s"/>
      <c r="C485" s="258" t="s"/>
      <c r="D485" s="259" t="s"/>
      <c r="E485" s="260" t="s"/>
      <c r="F485" s="199" t="s"/>
      <c r="G485" s="199" t="s"/>
      <c r="H485" s="96" t="s"/>
      <c r="I485" s="257" t="s"/>
      <c r="J485" s="97" t="s">
        <f>=_xlfn.TEXTJOIN("+",TRUE,_xlfn._xlws.FILTER(_xlfn.TEXTSPLIT(H485,,"+"),(_xlfn.TEXTSPLIT(H485,,"+")&lt;&gt;"埃米工具")*(_xlfn.TEXTSPLIT(H485,,"+")&lt;&gt;"埃米广告通")))</f>
      </c>
      <c r="K485" s="262" t="s"/>
      <c r="L485" s="199" t="s"/>
      <c r="M485" s="199" t="s"/>
      <c r="N485" s="199" t="s"/>
      <c r="O485" s="199" t="s"/>
      <c r="P485" s="199" t="s"/>
      <c r="Q485" s="241" t="s"/>
      <c r="R485" s="199" t="s"/>
      <c r="S485" s="199" t="s"/>
      <c r="T485" s="199" t="s"/>
      <c r="U485" s="199" t="s"/>
      <c r="V485" s="199" t="s"/>
      <c r="W485" s="199" t="s"/>
      <c r="X485" s="199" t="s"/>
      <c r="Y485" s="199" t="s"/>
      <c r="Z485" s="200" t="s"/>
      <c r="AA485" s="200" t="s"/>
      <c r="AB485" s="200" t="s"/>
      <c r="AC485" s="200" t="s"/>
      <c r="AD485" s="200" t="s"/>
      <c r="AE485" s="200" t="s"/>
      <c r="AF485" s="200" t="s"/>
      <c r="AG485" s="200" t="s"/>
      <c r="AH485" s="200" t="s"/>
      <c r="AI485" s="200" t="s"/>
      <c r="AJ485" s="200" t="s"/>
      <c r="AK485" s="200" t="s"/>
      <c r="AL485" s="200" t="s"/>
      <c r="AM485" s="200" t="s"/>
    </row>
    <row r="486" spans="1:39" s="431" customFormat="true">
      <c r="A486" s="200" t="s"/>
      <c r="B486" s="257" t="s"/>
      <c r="C486" s="258" t="s"/>
      <c r="D486" s="259" t="s"/>
      <c r="E486" s="260" t="s"/>
      <c r="F486" s="199" t="s"/>
      <c r="G486" s="199" t="s"/>
      <c r="H486" s="96" t="s"/>
      <c r="I486" s="257" t="s"/>
      <c r="J486" s="97" t="s">
        <f>=_xlfn.TEXTJOIN("+",TRUE,_xlfn._xlws.FILTER(_xlfn.TEXTSPLIT(H486,,"+"),(_xlfn.TEXTSPLIT(H486,,"+")&lt;&gt;"埃米工具")*(_xlfn.TEXTSPLIT(H486,,"+")&lt;&gt;"埃米广告通")))</f>
      </c>
      <c r="K486" s="262" t="s"/>
      <c r="L486" s="199" t="s"/>
      <c r="M486" s="199" t="s"/>
      <c r="N486" s="199" t="s"/>
      <c r="O486" s="199" t="s"/>
      <c r="P486" s="199" t="s"/>
      <c r="Q486" s="241" t="s"/>
      <c r="R486" s="199" t="s"/>
      <c r="S486" s="199" t="s"/>
      <c r="T486" s="199" t="s"/>
      <c r="U486" s="199" t="s"/>
      <c r="V486" s="199" t="s"/>
      <c r="W486" s="199" t="s"/>
      <c r="X486" s="199" t="s"/>
      <c r="Y486" s="199" t="s"/>
      <c r="Z486" s="200" t="s"/>
      <c r="AA486" s="200" t="s"/>
      <c r="AB486" s="200" t="s"/>
      <c r="AC486" s="200" t="s"/>
      <c r="AD486" s="200" t="s"/>
      <c r="AE486" s="200" t="s"/>
      <c r="AF486" s="200" t="s"/>
      <c r="AG486" s="200" t="s"/>
      <c r="AH486" s="200" t="s"/>
      <c r="AI486" s="200" t="s"/>
      <c r="AJ486" s="200" t="s"/>
      <c r="AK486" s="200" t="s"/>
      <c r="AL486" s="200" t="s"/>
      <c r="AM486" s="200" t="s"/>
    </row>
    <row r="487" spans="1:39" s="431" customFormat="true">
      <c r="A487" s="200" t="s"/>
      <c r="B487" s="257" t="s"/>
      <c r="C487" s="258" t="s"/>
      <c r="D487" s="259" t="s"/>
      <c r="E487" s="260" t="s"/>
      <c r="F487" s="199" t="s"/>
      <c r="G487" s="199" t="s"/>
      <c r="H487" s="96" t="s"/>
      <c r="I487" s="257" t="s"/>
      <c r="J487" s="97" t="s">
        <f>=_xlfn.TEXTJOIN("+",TRUE,_xlfn._xlws.FILTER(_xlfn.TEXTSPLIT(H487,,"+"),(_xlfn.TEXTSPLIT(H487,,"+")&lt;&gt;"埃米工具")*(_xlfn.TEXTSPLIT(H487,,"+")&lt;&gt;"埃米广告通")))</f>
      </c>
      <c r="K487" s="262" t="s"/>
      <c r="L487" s="199" t="s"/>
      <c r="M487" s="199" t="s"/>
      <c r="N487" s="199" t="s"/>
      <c r="O487" s="199" t="s"/>
      <c r="P487" s="199" t="s"/>
      <c r="Q487" s="241" t="s"/>
      <c r="R487" s="199" t="s"/>
      <c r="S487" s="199" t="s"/>
      <c r="T487" s="199" t="s"/>
      <c r="U487" s="199" t="s"/>
      <c r="V487" s="199" t="s"/>
      <c r="W487" s="199" t="s"/>
      <c r="X487" s="199" t="s"/>
      <c r="Y487" s="199" t="s"/>
      <c r="Z487" s="200" t="s"/>
      <c r="AA487" s="200" t="s"/>
      <c r="AB487" s="200" t="s"/>
      <c r="AC487" s="200" t="s"/>
      <c r="AD487" s="200" t="s"/>
      <c r="AE487" s="200" t="s"/>
      <c r="AF487" s="200" t="s"/>
      <c r="AG487" s="200" t="s"/>
      <c r="AH487" s="200" t="s"/>
      <c r="AI487" s="200" t="s"/>
      <c r="AJ487" s="200" t="s"/>
      <c r="AK487" s="200" t="s"/>
      <c r="AL487" s="200" t="s"/>
      <c r="AM487" s="200" t="s"/>
    </row>
    <row r="488" spans="1:39" s="431" customFormat="true">
      <c r="A488" s="200" t="s"/>
      <c r="B488" s="257" t="s"/>
      <c r="C488" s="258" t="s"/>
      <c r="D488" s="259" t="s"/>
      <c r="E488" s="260" t="s"/>
      <c r="F488" s="199" t="s"/>
      <c r="G488" s="199" t="s"/>
      <c r="H488" s="96" t="s"/>
      <c r="I488" s="257" t="s"/>
      <c r="J488" s="97" t="s">
        <f>=_xlfn.TEXTJOIN("+",TRUE,_xlfn._xlws.FILTER(_xlfn.TEXTSPLIT(H488,,"+"),(_xlfn.TEXTSPLIT(H488,,"+")&lt;&gt;"埃米工具")*(_xlfn.TEXTSPLIT(H488,,"+")&lt;&gt;"埃米广告通")))</f>
      </c>
      <c r="K488" s="262" t="s"/>
      <c r="L488" s="199" t="s"/>
      <c r="M488" s="199" t="s"/>
      <c r="N488" s="199" t="s"/>
      <c r="O488" s="199" t="s"/>
      <c r="P488" s="199" t="s"/>
      <c r="Q488" s="241" t="s"/>
      <c r="R488" s="199" t="s"/>
      <c r="S488" s="199" t="s"/>
      <c r="T488" s="199" t="s"/>
      <c r="U488" s="199" t="s"/>
      <c r="V488" s="199" t="s"/>
      <c r="W488" s="199" t="s"/>
      <c r="X488" s="199" t="s"/>
      <c r="Y488" s="199" t="s"/>
      <c r="Z488" s="200" t="s"/>
      <c r="AA488" s="200" t="s"/>
      <c r="AB488" s="200" t="s"/>
      <c r="AC488" s="200" t="s"/>
      <c r="AD488" s="200" t="s"/>
      <c r="AE488" s="200" t="s"/>
      <c r="AF488" s="200" t="s"/>
      <c r="AG488" s="200" t="s"/>
      <c r="AH488" s="200" t="s"/>
      <c r="AI488" s="200" t="s"/>
      <c r="AJ488" s="200" t="s"/>
      <c r="AK488" s="200" t="s"/>
      <c r="AL488" s="200" t="s"/>
      <c r="AM488" s="200" t="s"/>
    </row>
    <row r="489" spans="1:39" s="431" customFormat="true">
      <c r="A489" s="200" t="s"/>
      <c r="B489" s="257" t="s"/>
      <c r="C489" s="258" t="s"/>
      <c r="D489" s="259" t="s"/>
      <c r="E489" s="260" t="s"/>
      <c r="F489" s="199" t="s"/>
      <c r="G489" s="199" t="s"/>
      <c r="H489" s="96" t="s"/>
      <c r="I489" s="257" t="s"/>
      <c r="J489" s="97" t="s">
        <f>=_xlfn.TEXTJOIN("+",TRUE,_xlfn._xlws.FILTER(_xlfn.TEXTSPLIT(H489,,"+"),(_xlfn.TEXTSPLIT(H489,,"+")&lt;&gt;"埃米工具")*(_xlfn.TEXTSPLIT(H489,,"+")&lt;&gt;"埃米广告通")))</f>
      </c>
      <c r="K489" s="262" t="s"/>
      <c r="L489" s="199" t="s"/>
      <c r="M489" s="199" t="s"/>
      <c r="N489" s="199" t="s"/>
      <c r="O489" s="199" t="s"/>
      <c r="P489" s="199" t="s"/>
      <c r="Q489" s="241" t="s"/>
      <c r="R489" s="199" t="s"/>
      <c r="S489" s="199" t="s"/>
      <c r="T489" s="199" t="s"/>
      <c r="U489" s="199" t="s"/>
      <c r="V489" s="199" t="s"/>
      <c r="W489" s="199" t="s"/>
      <c r="X489" s="199" t="s"/>
      <c r="Y489" s="199" t="s"/>
      <c r="Z489" s="200" t="s"/>
      <c r="AA489" s="200" t="s"/>
      <c r="AB489" s="200" t="s"/>
      <c r="AC489" s="200" t="s"/>
      <c r="AD489" s="200" t="s"/>
      <c r="AE489" s="200" t="s"/>
      <c r="AF489" s="200" t="s"/>
      <c r="AG489" s="200" t="s"/>
      <c r="AH489" s="200" t="s"/>
      <c r="AI489" s="200" t="s"/>
      <c r="AJ489" s="200" t="s"/>
      <c r="AK489" s="200" t="s"/>
      <c r="AL489" s="200" t="s"/>
      <c r="AM489" s="200" t="s"/>
    </row>
    <row r="490" spans="1:39" s="431" customFormat="true">
      <c r="A490" s="200" t="s"/>
      <c r="B490" s="257" t="s"/>
      <c r="C490" s="258" t="s"/>
      <c r="D490" s="259" t="s"/>
      <c r="E490" s="260" t="s"/>
      <c r="F490" s="199" t="s"/>
      <c r="G490" s="199" t="s"/>
      <c r="H490" s="96" t="s"/>
      <c r="I490" s="257" t="s"/>
      <c r="J490" s="97" t="s">
        <f>=_xlfn.TEXTJOIN("+",TRUE,_xlfn._xlws.FILTER(_xlfn.TEXTSPLIT(H490,,"+"),(_xlfn.TEXTSPLIT(H490,,"+")&lt;&gt;"埃米工具")*(_xlfn.TEXTSPLIT(H490,,"+")&lt;&gt;"埃米广告通")))</f>
      </c>
      <c r="K490" s="262" t="s"/>
      <c r="L490" s="199" t="s"/>
      <c r="M490" s="199" t="s"/>
      <c r="N490" s="199" t="s"/>
      <c r="O490" s="199" t="s"/>
      <c r="P490" s="199" t="s"/>
      <c r="Q490" s="241" t="s"/>
      <c r="R490" s="199" t="s"/>
      <c r="S490" s="199" t="s"/>
      <c r="T490" s="199" t="s"/>
      <c r="U490" s="199" t="s"/>
      <c r="V490" s="199" t="s"/>
      <c r="W490" s="199" t="s"/>
      <c r="X490" s="199" t="s"/>
      <c r="Y490" s="199" t="s"/>
      <c r="Z490" s="200" t="s"/>
      <c r="AA490" s="200" t="s"/>
      <c r="AB490" s="200" t="s"/>
      <c r="AC490" s="200" t="s"/>
      <c r="AD490" s="200" t="s"/>
      <c r="AE490" s="200" t="s"/>
      <c r="AF490" s="200" t="s"/>
      <c r="AG490" s="200" t="s"/>
      <c r="AH490" s="200" t="s"/>
      <c r="AI490" s="200" t="s"/>
      <c r="AJ490" s="200" t="s"/>
      <c r="AK490" s="200" t="s"/>
      <c r="AL490" s="200" t="s"/>
      <c r="AM490" s="200" t="s"/>
    </row>
    <row r="491" spans="1:39" s="431" customFormat="true">
      <c r="A491" s="200" t="s"/>
      <c r="B491" s="257" t="s"/>
      <c r="C491" s="258" t="s"/>
      <c r="D491" s="259" t="s"/>
      <c r="E491" s="260" t="s"/>
      <c r="F491" s="199" t="s"/>
      <c r="G491" s="199" t="s"/>
      <c r="H491" s="96" t="s"/>
      <c r="I491" s="257" t="s"/>
      <c r="J491" s="97" t="s">
        <f>=_xlfn.TEXTJOIN("+",TRUE,_xlfn._xlws.FILTER(_xlfn.TEXTSPLIT(H491,,"+"),(_xlfn.TEXTSPLIT(H491,,"+")&lt;&gt;"埃米工具")*(_xlfn.TEXTSPLIT(H491,,"+")&lt;&gt;"埃米广告通")))</f>
      </c>
      <c r="K491" s="262" t="s"/>
      <c r="L491" s="199" t="s"/>
      <c r="M491" s="199" t="s"/>
      <c r="N491" s="199" t="s"/>
      <c r="O491" s="199" t="s"/>
      <c r="P491" s="199" t="s"/>
      <c r="Q491" s="241" t="s"/>
      <c r="R491" s="199" t="s"/>
      <c r="S491" s="199" t="s"/>
      <c r="T491" s="199" t="s"/>
      <c r="U491" s="199" t="s"/>
      <c r="V491" s="199" t="s"/>
      <c r="W491" s="199" t="s"/>
      <c r="X491" s="199" t="s"/>
      <c r="Y491" s="199" t="s"/>
      <c r="Z491" s="200" t="s"/>
      <c r="AA491" s="200" t="s"/>
      <c r="AB491" s="200" t="s"/>
      <c r="AC491" s="200" t="s"/>
      <c r="AD491" s="200" t="s"/>
      <c r="AE491" s="200" t="s"/>
      <c r="AF491" s="200" t="s"/>
      <c r="AG491" s="200" t="s"/>
      <c r="AH491" s="200" t="s"/>
      <c r="AI491" s="200" t="s"/>
      <c r="AJ491" s="200" t="s"/>
      <c r="AK491" s="200" t="s"/>
      <c r="AL491" s="200" t="s"/>
      <c r="AM491" s="200" t="s"/>
    </row>
    <row r="492" spans="1:39" s="431" customFormat="true">
      <c r="A492" s="200" t="s"/>
      <c r="B492" s="257" t="s"/>
      <c r="C492" s="258" t="s"/>
      <c r="D492" s="259" t="s"/>
      <c r="E492" s="260" t="s"/>
      <c r="F492" s="199" t="s"/>
      <c r="G492" s="199" t="s"/>
      <c r="H492" s="96" t="s"/>
      <c r="I492" s="257" t="s"/>
      <c r="J492" s="97" t="s">
        <f>=_xlfn.TEXTJOIN("+",TRUE,_xlfn._xlws.FILTER(_xlfn.TEXTSPLIT(H492,,"+"),(_xlfn.TEXTSPLIT(H492,,"+")&lt;&gt;"埃米工具")*(_xlfn.TEXTSPLIT(H492,,"+")&lt;&gt;"埃米广告通")))</f>
      </c>
      <c r="K492" s="262" t="s"/>
      <c r="L492" s="199" t="s"/>
      <c r="M492" s="199" t="s"/>
      <c r="N492" s="199" t="s"/>
      <c r="O492" s="199" t="s"/>
      <c r="P492" s="199" t="s"/>
      <c r="Q492" s="241" t="s"/>
      <c r="R492" s="199" t="s"/>
      <c r="S492" s="199" t="s"/>
      <c r="T492" s="199" t="s"/>
      <c r="U492" s="199" t="s"/>
      <c r="V492" s="199" t="s"/>
      <c r="W492" s="199" t="s"/>
      <c r="X492" s="199" t="s"/>
      <c r="Y492" s="199" t="s"/>
      <c r="Z492" s="200" t="s"/>
      <c r="AA492" s="200" t="s"/>
      <c r="AB492" s="200" t="s"/>
      <c r="AC492" s="200" t="s"/>
      <c r="AD492" s="200" t="s"/>
      <c r="AE492" s="200" t="s"/>
      <c r="AF492" s="200" t="s"/>
      <c r="AG492" s="200" t="s"/>
      <c r="AH492" s="200" t="s"/>
      <c r="AI492" s="200" t="s"/>
      <c r="AJ492" s="200" t="s"/>
      <c r="AK492" s="200" t="s"/>
      <c r="AL492" s="200" t="s"/>
      <c r="AM492" s="200" t="s"/>
    </row>
    <row r="493" spans="1:39" s="431" customFormat="true">
      <c r="A493" s="200" t="s"/>
      <c r="B493" s="257" t="s"/>
      <c r="C493" s="258" t="s"/>
      <c r="D493" s="259" t="s"/>
      <c r="E493" s="260" t="s"/>
      <c r="F493" s="199" t="s"/>
      <c r="G493" s="199" t="s"/>
      <c r="H493" s="96" t="s"/>
      <c r="I493" s="257" t="s"/>
      <c r="J493" s="97" t="s">
        <f>=_xlfn.TEXTJOIN("+",TRUE,_xlfn._xlws.FILTER(_xlfn.TEXTSPLIT(H493,,"+"),(_xlfn.TEXTSPLIT(H493,,"+")&lt;&gt;"埃米工具")*(_xlfn.TEXTSPLIT(H493,,"+")&lt;&gt;"埃米广告通")))</f>
      </c>
      <c r="K493" s="262" t="s"/>
      <c r="L493" s="199" t="s"/>
      <c r="M493" s="199" t="s"/>
      <c r="N493" s="199" t="s"/>
      <c r="O493" s="199" t="s"/>
      <c r="P493" s="199" t="s"/>
      <c r="Q493" s="241" t="s"/>
      <c r="R493" s="199" t="s"/>
      <c r="S493" s="199" t="s"/>
      <c r="T493" s="199" t="s"/>
      <c r="U493" s="199" t="s"/>
      <c r="V493" s="199" t="s"/>
      <c r="W493" s="199" t="s"/>
      <c r="X493" s="199" t="s"/>
      <c r="Y493" s="199" t="s"/>
      <c r="Z493" s="200" t="s"/>
      <c r="AA493" s="200" t="s"/>
      <c r="AB493" s="200" t="s"/>
      <c r="AC493" s="200" t="s"/>
      <c r="AD493" s="200" t="s"/>
      <c r="AE493" s="200" t="s"/>
      <c r="AF493" s="200" t="s"/>
      <c r="AG493" s="200" t="s"/>
      <c r="AH493" s="200" t="s"/>
      <c r="AI493" s="200" t="s"/>
      <c r="AJ493" s="200" t="s"/>
      <c r="AK493" s="200" t="s"/>
      <c r="AL493" s="200" t="s"/>
      <c r="AM493" s="200" t="s"/>
    </row>
    <row r="494" spans="1:39" s="431" customFormat="true">
      <c r="A494" s="200" t="s"/>
      <c r="B494" s="257" t="s"/>
      <c r="C494" s="258" t="s"/>
      <c r="D494" s="259" t="s"/>
      <c r="E494" s="260" t="s"/>
      <c r="F494" s="199" t="s"/>
      <c r="G494" s="199" t="s"/>
      <c r="H494" s="96" t="s"/>
      <c r="I494" s="257" t="s"/>
      <c r="J494" s="97" t="s">
        <f>=_xlfn.TEXTJOIN("+",TRUE,_xlfn._xlws.FILTER(_xlfn.TEXTSPLIT(H494,,"+"),(_xlfn.TEXTSPLIT(H494,,"+")&lt;&gt;"埃米工具")*(_xlfn.TEXTSPLIT(H494,,"+")&lt;&gt;"埃米广告通")))</f>
      </c>
      <c r="K494" s="262" t="s"/>
      <c r="L494" s="199" t="s"/>
      <c r="M494" s="199" t="s"/>
      <c r="N494" s="199" t="s"/>
      <c r="O494" s="199" t="s"/>
      <c r="P494" s="199" t="s"/>
      <c r="Q494" s="241" t="s"/>
      <c r="R494" s="199" t="s"/>
      <c r="S494" s="199" t="s"/>
      <c r="T494" s="199" t="s"/>
      <c r="U494" s="199" t="s"/>
      <c r="V494" s="199" t="s"/>
      <c r="W494" s="199" t="s"/>
      <c r="X494" s="199" t="s"/>
      <c r="Y494" s="199" t="s"/>
      <c r="Z494" s="200" t="s"/>
      <c r="AA494" s="200" t="s"/>
      <c r="AB494" s="200" t="s"/>
      <c r="AC494" s="200" t="s"/>
      <c r="AD494" s="200" t="s"/>
      <c r="AE494" s="200" t="s"/>
      <c r="AF494" s="200" t="s"/>
      <c r="AG494" s="200" t="s"/>
      <c r="AH494" s="200" t="s"/>
      <c r="AI494" s="200" t="s"/>
      <c r="AJ494" s="200" t="s"/>
      <c r="AK494" s="200" t="s"/>
      <c r="AL494" s="200" t="s"/>
      <c r="AM494" s="200" t="s"/>
    </row>
    <row r="495" spans="1:39" s="431" customFormat="true">
      <c r="A495" s="200" t="s"/>
      <c r="B495" s="257" t="s"/>
      <c r="C495" s="258" t="s"/>
      <c r="D495" s="259" t="s"/>
      <c r="E495" s="260" t="s"/>
      <c r="F495" s="199" t="s"/>
      <c r="G495" s="199" t="s"/>
      <c r="H495" s="96" t="s"/>
      <c r="I495" s="257" t="s"/>
      <c r="J495" s="97" t="s">
        <f>=_xlfn.TEXTJOIN("+",TRUE,_xlfn._xlws.FILTER(_xlfn.TEXTSPLIT(H495,,"+"),(_xlfn.TEXTSPLIT(H495,,"+")&lt;&gt;"埃米工具")*(_xlfn.TEXTSPLIT(H495,,"+")&lt;&gt;"埃米广告通")))</f>
      </c>
      <c r="K495" s="262" t="s"/>
      <c r="L495" s="199" t="s"/>
      <c r="M495" s="199" t="s"/>
      <c r="N495" s="199" t="s"/>
      <c r="O495" s="199" t="s"/>
      <c r="P495" s="199" t="s"/>
      <c r="Q495" s="241" t="s"/>
      <c r="R495" s="199" t="s"/>
      <c r="S495" s="199" t="s"/>
      <c r="T495" s="199" t="s"/>
      <c r="U495" s="199" t="s"/>
      <c r="V495" s="199" t="s"/>
      <c r="W495" s="199" t="s"/>
      <c r="X495" s="199" t="s"/>
      <c r="Y495" s="199" t="s"/>
      <c r="Z495" s="200" t="s"/>
      <c r="AA495" s="200" t="s"/>
      <c r="AB495" s="200" t="s"/>
      <c r="AC495" s="200" t="s"/>
      <c r="AD495" s="200" t="s"/>
      <c r="AE495" s="200" t="s"/>
      <c r="AF495" s="200" t="s"/>
      <c r="AG495" s="200" t="s"/>
      <c r="AH495" s="200" t="s"/>
      <c r="AI495" s="200" t="s"/>
      <c r="AJ495" s="200" t="s"/>
      <c r="AK495" s="200" t="s"/>
      <c r="AL495" s="200" t="s"/>
      <c r="AM495" s="200" t="s"/>
    </row>
    <row r="496" spans="1:39" s="431" customFormat="true">
      <c r="A496" s="200" t="s"/>
      <c r="B496" s="257" t="s"/>
      <c r="C496" s="258" t="s"/>
      <c r="D496" s="259" t="s"/>
      <c r="E496" s="260" t="s"/>
      <c r="F496" s="199" t="s"/>
      <c r="G496" s="199" t="s"/>
      <c r="H496" s="96" t="s"/>
      <c r="I496" s="257" t="s"/>
      <c r="J496" s="97" t="s">
        <f>=_xlfn.TEXTJOIN("+",TRUE,_xlfn._xlws.FILTER(_xlfn.TEXTSPLIT(H496,,"+"),(_xlfn.TEXTSPLIT(H496,,"+")&lt;&gt;"埃米工具")*(_xlfn.TEXTSPLIT(H496,,"+")&lt;&gt;"埃米广告通")))</f>
      </c>
      <c r="K496" s="262" t="s"/>
      <c r="L496" s="199" t="s"/>
      <c r="M496" s="199" t="s"/>
      <c r="N496" s="199" t="s"/>
      <c r="O496" s="199" t="s"/>
      <c r="P496" s="199" t="s"/>
      <c r="Q496" s="241" t="s"/>
      <c r="R496" s="199" t="s"/>
      <c r="S496" s="199" t="s"/>
      <c r="T496" s="199" t="s"/>
      <c r="U496" s="199" t="s"/>
      <c r="V496" s="199" t="s"/>
      <c r="W496" s="199" t="s"/>
      <c r="X496" s="199" t="s"/>
      <c r="Y496" s="199" t="s"/>
      <c r="Z496" s="200" t="s"/>
      <c r="AA496" s="200" t="s"/>
      <c r="AB496" s="200" t="s"/>
      <c r="AC496" s="200" t="s"/>
      <c r="AD496" s="200" t="s"/>
      <c r="AE496" s="200" t="s"/>
      <c r="AF496" s="200" t="s"/>
      <c r="AG496" s="200" t="s"/>
      <c r="AH496" s="200" t="s"/>
      <c r="AI496" s="200" t="s"/>
      <c r="AJ496" s="200" t="s"/>
      <c r="AK496" s="200" t="s"/>
      <c r="AL496" s="200" t="s"/>
      <c r="AM496" s="200" t="s"/>
    </row>
    <row r="497" spans="1:39" s="431" customFormat="true">
      <c r="A497" s="200" t="s"/>
      <c r="B497" s="257" t="s"/>
      <c r="C497" s="258" t="s"/>
      <c r="D497" s="259" t="s"/>
      <c r="E497" s="260" t="s"/>
      <c r="F497" s="199" t="s"/>
      <c r="G497" s="199" t="s"/>
      <c r="H497" s="96" t="s"/>
      <c r="I497" s="257" t="s"/>
      <c r="J497" s="97" t="s">
        <f>=_xlfn.TEXTJOIN("+",TRUE,_xlfn._xlws.FILTER(_xlfn.TEXTSPLIT(H497,,"+"),(_xlfn.TEXTSPLIT(H497,,"+")&lt;&gt;"埃米工具")*(_xlfn.TEXTSPLIT(H497,,"+")&lt;&gt;"埃米广告通")))</f>
      </c>
      <c r="K497" s="262" t="s"/>
      <c r="L497" s="199" t="s"/>
      <c r="M497" s="199" t="s"/>
      <c r="N497" s="199" t="s"/>
      <c r="O497" s="199" t="s"/>
      <c r="P497" s="199" t="s"/>
      <c r="Q497" s="241" t="s"/>
      <c r="R497" s="199" t="s"/>
      <c r="S497" s="199" t="s"/>
      <c r="T497" s="199" t="s"/>
      <c r="U497" s="199" t="s"/>
      <c r="V497" s="199" t="s"/>
      <c r="W497" s="199" t="s"/>
      <c r="X497" s="199" t="s"/>
      <c r="Y497" s="199" t="s"/>
      <c r="Z497" s="200" t="s"/>
      <c r="AA497" s="200" t="s"/>
      <c r="AB497" s="200" t="s"/>
      <c r="AC497" s="200" t="s"/>
      <c r="AD497" s="200" t="s"/>
      <c r="AE497" s="200" t="s"/>
      <c r="AF497" s="200" t="s"/>
      <c r="AG497" s="200" t="s"/>
      <c r="AH497" s="200" t="s"/>
      <c r="AI497" s="200" t="s"/>
      <c r="AJ497" s="200" t="s"/>
      <c r="AK497" s="200" t="s"/>
      <c r="AL497" s="200" t="s"/>
      <c r="AM497" s="200" t="s"/>
    </row>
    <row r="498" spans="1:39" s="431" customFormat="true">
      <c r="A498" s="200" t="s"/>
      <c r="B498" s="257" t="s"/>
      <c r="C498" s="258" t="s"/>
      <c r="D498" s="259" t="s"/>
      <c r="E498" s="260" t="s"/>
      <c r="F498" s="199" t="s"/>
      <c r="G498" s="199" t="s"/>
      <c r="H498" s="96" t="s"/>
      <c r="I498" s="257" t="s"/>
      <c r="J498" s="97" t="s">
        <f>=_xlfn.TEXTJOIN("+",TRUE,_xlfn._xlws.FILTER(_xlfn.TEXTSPLIT(H498,,"+"),(_xlfn.TEXTSPLIT(H498,,"+")&lt;&gt;"埃米工具")*(_xlfn.TEXTSPLIT(H498,,"+")&lt;&gt;"埃米广告通")))</f>
      </c>
      <c r="K498" s="262" t="s"/>
      <c r="L498" s="199" t="s"/>
      <c r="M498" s="199" t="s"/>
      <c r="N498" s="199" t="s"/>
      <c r="O498" s="199" t="s"/>
      <c r="P498" s="199" t="s"/>
      <c r="Q498" s="241" t="s"/>
      <c r="R498" s="199" t="s"/>
      <c r="S498" s="199" t="s"/>
      <c r="T498" s="199" t="s"/>
      <c r="U498" s="199" t="s"/>
      <c r="V498" s="199" t="s"/>
      <c r="W498" s="199" t="s"/>
      <c r="X498" s="199" t="s"/>
      <c r="Y498" s="199" t="s"/>
      <c r="Z498" s="200" t="s"/>
      <c r="AA498" s="200" t="s"/>
      <c r="AB498" s="200" t="s"/>
      <c r="AC498" s="200" t="s"/>
      <c r="AD498" s="200" t="s"/>
      <c r="AE498" s="200" t="s"/>
      <c r="AF498" s="200" t="s"/>
      <c r="AG498" s="200" t="s"/>
      <c r="AH498" s="200" t="s"/>
      <c r="AI498" s="200" t="s"/>
      <c r="AJ498" s="200" t="s"/>
      <c r="AK498" s="200" t="s"/>
      <c r="AL498" s="200" t="s"/>
      <c r="AM498" s="200" t="s"/>
    </row>
    <row r="499" spans="1:39" s="431" customFormat="true">
      <c r="A499" s="200" t="s"/>
      <c r="B499" s="257" t="s"/>
      <c r="C499" s="258" t="s"/>
      <c r="D499" s="259" t="s"/>
      <c r="E499" s="260" t="s"/>
      <c r="F499" s="199" t="s"/>
      <c r="G499" s="199" t="s"/>
      <c r="H499" s="96" t="s"/>
      <c r="I499" s="257" t="s"/>
      <c r="J499" s="97" t="s">
        <f>=_xlfn.TEXTJOIN("+",TRUE,_xlfn._xlws.FILTER(_xlfn.TEXTSPLIT(H499,,"+"),(_xlfn.TEXTSPLIT(H499,,"+")&lt;&gt;"埃米工具")*(_xlfn.TEXTSPLIT(H499,,"+")&lt;&gt;"埃米广告通")))</f>
      </c>
      <c r="K499" s="262" t="s"/>
      <c r="L499" s="199" t="s"/>
      <c r="M499" s="199" t="s"/>
      <c r="N499" s="199" t="s"/>
      <c r="O499" s="199" t="s"/>
      <c r="P499" s="199" t="s"/>
      <c r="Q499" s="241" t="s"/>
      <c r="R499" s="199" t="s"/>
      <c r="S499" s="199" t="s"/>
      <c r="T499" s="199" t="s"/>
      <c r="U499" s="199" t="s"/>
      <c r="V499" s="199" t="s"/>
      <c r="W499" s="199" t="s"/>
      <c r="X499" s="199" t="s"/>
      <c r="Y499" s="199" t="s"/>
      <c r="Z499" s="200" t="s"/>
      <c r="AA499" s="200" t="s"/>
      <c r="AB499" s="200" t="s"/>
      <c r="AC499" s="200" t="s"/>
      <c r="AD499" s="200" t="s"/>
      <c r="AE499" s="200" t="s"/>
      <c r="AF499" s="200" t="s"/>
      <c r="AG499" s="200" t="s"/>
      <c r="AH499" s="200" t="s"/>
      <c r="AI499" s="200" t="s"/>
      <c r="AJ499" s="200" t="s"/>
      <c r="AK499" s="200" t="s"/>
      <c r="AL499" s="200" t="s"/>
      <c r="AM499" s="200" t="s"/>
    </row>
    <row r="500" spans="1:39" s="431" customFormat="true">
      <c r="A500" s="200" t="s"/>
      <c r="B500" s="257" t="s"/>
      <c r="C500" s="258" t="s"/>
      <c r="D500" s="259" t="s"/>
      <c r="E500" s="260" t="s"/>
      <c r="F500" s="199" t="s"/>
      <c r="G500" s="199" t="s"/>
      <c r="H500" s="96" t="s"/>
      <c r="I500" s="257" t="s"/>
      <c r="J500" s="97" t="s">
        <f>=_xlfn.TEXTJOIN("+",TRUE,_xlfn._xlws.FILTER(_xlfn.TEXTSPLIT(H500,,"+"),(_xlfn.TEXTSPLIT(H500,,"+")&lt;&gt;"埃米工具")*(_xlfn.TEXTSPLIT(H500,,"+")&lt;&gt;"埃米广告通")))</f>
      </c>
      <c r="K500" s="262" t="s"/>
      <c r="L500" s="199" t="s"/>
      <c r="M500" s="199" t="s"/>
      <c r="N500" s="199" t="s"/>
      <c r="O500" s="199" t="s"/>
      <c r="P500" s="199" t="s"/>
      <c r="Q500" s="241" t="s"/>
      <c r="R500" s="199" t="s"/>
      <c r="S500" s="199" t="s"/>
      <c r="T500" s="199" t="s"/>
      <c r="U500" s="199" t="s"/>
      <c r="V500" s="199" t="s"/>
      <c r="W500" s="199" t="s"/>
      <c r="X500" s="199" t="s"/>
      <c r="Y500" s="199" t="s"/>
      <c r="Z500" s="200" t="s"/>
      <c r="AA500" s="200" t="s"/>
      <c r="AB500" s="200" t="s"/>
      <c r="AC500" s="200" t="s"/>
      <c r="AD500" s="200" t="s"/>
      <c r="AE500" s="200" t="s"/>
      <c r="AF500" s="200" t="s"/>
      <c r="AG500" s="200" t="s"/>
      <c r="AH500" s="200" t="s"/>
      <c r="AI500" s="200" t="s"/>
      <c r="AJ500" s="200" t="s"/>
      <c r="AK500" s="200" t="s"/>
      <c r="AL500" s="200" t="s"/>
      <c r="AM500" s="200" t="s"/>
    </row>
    <row r="501" spans="1:39" s="431" customFormat="true">
      <c r="A501" s="200" t="s"/>
      <c r="B501" s="257" t="s"/>
      <c r="C501" s="258" t="s"/>
      <c r="D501" s="259" t="s"/>
      <c r="E501" s="260" t="s"/>
      <c r="F501" s="199" t="s"/>
      <c r="G501" s="199" t="s"/>
      <c r="H501" s="96" t="s"/>
      <c r="I501" s="257" t="s"/>
      <c r="J501" s="97" t="s">
        <f>=_xlfn.TEXTJOIN("+",TRUE,_xlfn._xlws.FILTER(_xlfn.TEXTSPLIT(H501,,"+"),(_xlfn.TEXTSPLIT(H501,,"+")&lt;&gt;"埃米工具")*(_xlfn.TEXTSPLIT(H501,,"+")&lt;&gt;"埃米广告通")))</f>
      </c>
      <c r="K501" s="262" t="s"/>
      <c r="L501" s="199" t="s"/>
      <c r="M501" s="199" t="s"/>
      <c r="N501" s="199" t="s"/>
      <c r="O501" s="199" t="s"/>
      <c r="P501" s="199" t="s"/>
      <c r="Q501" s="241" t="s"/>
      <c r="R501" s="199" t="s"/>
      <c r="S501" s="199" t="s"/>
      <c r="T501" s="199" t="s"/>
      <c r="U501" s="199" t="s"/>
      <c r="V501" s="199" t="s"/>
      <c r="W501" s="199" t="s"/>
      <c r="X501" s="199" t="s"/>
      <c r="Y501" s="199" t="s"/>
      <c r="Z501" s="200" t="s"/>
      <c r="AA501" s="200" t="s"/>
      <c r="AB501" s="200" t="s"/>
      <c r="AC501" s="200" t="s"/>
      <c r="AD501" s="200" t="s"/>
      <c r="AE501" s="200" t="s"/>
      <c r="AF501" s="200" t="s"/>
      <c r="AG501" s="200" t="s"/>
      <c r="AH501" s="200" t="s"/>
      <c r="AI501" s="200" t="s"/>
      <c r="AJ501" s="200" t="s"/>
      <c r="AK501" s="200" t="s"/>
      <c r="AL501" s="200" t="s"/>
      <c r="AM501" s="200" t="s"/>
    </row>
    <row r="502" spans="1:39" s="431" customFormat="true">
      <c r="A502" s="200" t="s"/>
      <c r="B502" s="257" t="s"/>
      <c r="C502" s="258" t="s"/>
      <c r="D502" s="259" t="s"/>
      <c r="E502" s="260" t="s"/>
      <c r="F502" s="199" t="s"/>
      <c r="G502" s="199" t="s"/>
      <c r="H502" s="96" t="s"/>
      <c r="I502" s="257" t="s"/>
      <c r="J502" s="97" t="s">
        <f>=_xlfn.TEXTJOIN("+",TRUE,_xlfn._xlws.FILTER(_xlfn.TEXTSPLIT(H502,,"+"),(_xlfn.TEXTSPLIT(H502,,"+")&lt;&gt;"埃米工具")*(_xlfn.TEXTSPLIT(H502,,"+")&lt;&gt;"埃米广告通")))</f>
      </c>
      <c r="K502" s="262" t="s"/>
      <c r="L502" s="199" t="s"/>
      <c r="M502" s="199" t="s"/>
      <c r="N502" s="199" t="s"/>
      <c r="O502" s="199" t="s"/>
      <c r="P502" s="199" t="s"/>
      <c r="Q502" s="241" t="s"/>
      <c r="R502" s="199" t="s"/>
      <c r="S502" s="199" t="s"/>
      <c r="T502" s="199" t="s"/>
      <c r="U502" s="199" t="s"/>
      <c r="V502" s="199" t="s"/>
      <c r="W502" s="199" t="s"/>
      <c r="X502" s="199" t="s"/>
      <c r="Y502" s="199" t="s"/>
      <c r="Z502" s="200" t="s"/>
      <c r="AA502" s="200" t="s"/>
      <c r="AB502" s="200" t="s"/>
      <c r="AC502" s="200" t="s"/>
      <c r="AD502" s="200" t="s"/>
      <c r="AE502" s="200" t="s"/>
      <c r="AF502" s="200" t="s"/>
      <c r="AG502" s="200" t="s"/>
      <c r="AH502" s="200" t="s"/>
      <c r="AI502" s="200" t="s"/>
      <c r="AJ502" s="200" t="s"/>
      <c r="AK502" s="200" t="s"/>
      <c r="AL502" s="200" t="s"/>
      <c r="AM502" s="200" t="s"/>
    </row>
    <row r="503" spans="1:39" s="431" customFormat="true">
      <c r="A503" s="200" t="s"/>
      <c r="B503" s="257" t="s"/>
      <c r="C503" s="258" t="s"/>
      <c r="D503" s="259" t="s"/>
      <c r="E503" s="260" t="s"/>
      <c r="F503" s="199" t="s"/>
      <c r="G503" s="199" t="s"/>
      <c r="H503" s="96" t="s"/>
      <c r="I503" s="257" t="s"/>
      <c r="J503" s="97" t="s">
        <f>=_xlfn.TEXTJOIN("+",TRUE,_xlfn._xlws.FILTER(_xlfn.TEXTSPLIT(H503,,"+"),(_xlfn.TEXTSPLIT(H503,,"+")&lt;&gt;"埃米工具")*(_xlfn.TEXTSPLIT(H503,,"+")&lt;&gt;"埃米广告通")))</f>
      </c>
      <c r="K503" s="262" t="s"/>
      <c r="L503" s="199" t="s"/>
      <c r="M503" s="199" t="s"/>
      <c r="N503" s="199" t="s"/>
      <c r="O503" s="199" t="s"/>
      <c r="P503" s="199" t="s"/>
      <c r="Q503" s="241" t="s"/>
      <c r="R503" s="199" t="s"/>
      <c r="S503" s="199" t="s"/>
      <c r="T503" s="199" t="s"/>
      <c r="U503" s="199" t="s"/>
      <c r="V503" s="199" t="s"/>
      <c r="W503" s="199" t="s"/>
      <c r="X503" s="199" t="s"/>
      <c r="Y503" s="199" t="s"/>
      <c r="Z503" s="200" t="s"/>
      <c r="AA503" s="200" t="s"/>
      <c r="AB503" s="200" t="s"/>
      <c r="AC503" s="200" t="s"/>
      <c r="AD503" s="200" t="s"/>
      <c r="AE503" s="200" t="s"/>
      <c r="AF503" s="200" t="s"/>
      <c r="AG503" s="200" t="s"/>
      <c r="AH503" s="200" t="s"/>
      <c r="AI503" s="200" t="s"/>
      <c r="AJ503" s="200" t="s"/>
      <c r="AK503" s="200" t="s"/>
      <c r="AL503" s="200" t="s"/>
      <c r="AM503" s="200" t="s"/>
    </row>
    <row r="504" spans="1:39" s="431" customFormat="true">
      <c r="A504" s="200" t="s"/>
      <c r="B504" s="257" t="s"/>
      <c r="C504" s="258" t="s"/>
      <c r="D504" s="259" t="s"/>
      <c r="E504" s="260" t="s"/>
      <c r="F504" s="199" t="s"/>
      <c r="G504" s="199" t="s"/>
      <c r="H504" s="96" t="s"/>
      <c r="I504" s="257" t="s"/>
      <c r="J504" s="97" t="s">
        <f>=_xlfn.TEXTJOIN("+",TRUE,_xlfn._xlws.FILTER(_xlfn.TEXTSPLIT(H504,,"+"),(_xlfn.TEXTSPLIT(H504,,"+")&lt;&gt;"埃米工具")*(_xlfn.TEXTSPLIT(H504,,"+")&lt;&gt;"埃米广告通")))</f>
      </c>
      <c r="K504" s="262" t="s"/>
      <c r="L504" s="199" t="s"/>
      <c r="M504" s="199" t="s"/>
      <c r="N504" s="199" t="s"/>
      <c r="O504" s="199" t="s"/>
      <c r="P504" s="199" t="s"/>
      <c r="Q504" s="241" t="s"/>
      <c r="R504" s="199" t="s"/>
      <c r="S504" s="199" t="s"/>
      <c r="T504" s="199" t="s"/>
      <c r="U504" s="199" t="s"/>
      <c r="V504" s="199" t="s"/>
      <c r="W504" s="199" t="s"/>
      <c r="X504" s="199" t="s"/>
      <c r="Y504" s="199" t="s"/>
      <c r="Z504" s="200" t="s"/>
      <c r="AA504" s="200" t="s"/>
      <c r="AB504" s="200" t="s"/>
      <c r="AC504" s="200" t="s"/>
      <c r="AD504" s="200" t="s"/>
      <c r="AE504" s="200" t="s"/>
      <c r="AF504" s="200" t="s"/>
      <c r="AG504" s="200" t="s"/>
      <c r="AH504" s="200" t="s"/>
      <c r="AI504" s="200" t="s"/>
      <c r="AJ504" s="200" t="s"/>
      <c r="AK504" s="200" t="s"/>
      <c r="AL504" s="200" t="s"/>
      <c r="AM504" s="200" t="s"/>
    </row>
    <row r="505" spans="1:39" s="431" customFormat="true">
      <c r="A505" s="200" t="s"/>
      <c r="B505" s="257" t="s"/>
      <c r="C505" s="258" t="s"/>
      <c r="D505" s="259" t="s"/>
      <c r="E505" s="260" t="s"/>
      <c r="F505" s="199" t="s"/>
      <c r="G505" s="199" t="s"/>
      <c r="H505" s="96" t="s"/>
      <c r="I505" s="257" t="s"/>
      <c r="J505" s="97" t="s">
        <f>=_xlfn.TEXTJOIN("+",TRUE,_xlfn._xlws.FILTER(_xlfn.TEXTSPLIT(H505,,"+"),(_xlfn.TEXTSPLIT(H505,,"+")&lt;&gt;"埃米工具")*(_xlfn.TEXTSPLIT(H505,,"+")&lt;&gt;"埃米广告通")))</f>
      </c>
      <c r="K505" s="262" t="s"/>
      <c r="L505" s="199" t="s"/>
      <c r="M505" s="199" t="s"/>
      <c r="N505" s="199" t="s"/>
      <c r="O505" s="199" t="s"/>
      <c r="P505" s="199" t="s"/>
      <c r="Q505" s="241" t="s"/>
      <c r="R505" s="199" t="s"/>
      <c r="S505" s="199" t="s"/>
      <c r="T505" s="199" t="s"/>
      <c r="U505" s="199" t="s"/>
      <c r="V505" s="199" t="s"/>
      <c r="W505" s="199" t="s"/>
      <c r="X505" s="199" t="s"/>
      <c r="Y505" s="199" t="s"/>
      <c r="Z505" s="200" t="s"/>
      <c r="AA505" s="200" t="s"/>
      <c r="AB505" s="200" t="s"/>
      <c r="AC505" s="200" t="s"/>
      <c r="AD505" s="200" t="s"/>
      <c r="AE505" s="200" t="s"/>
      <c r="AF505" s="200" t="s"/>
      <c r="AG505" s="200" t="s"/>
      <c r="AH505" s="200" t="s"/>
      <c r="AI505" s="200" t="s"/>
      <c r="AJ505" s="200" t="s"/>
      <c r="AK505" s="200" t="s"/>
      <c r="AL505" s="200" t="s"/>
      <c r="AM505" s="200" t="s"/>
    </row>
    <row r="506" spans="1:39" s="431" customFormat="true">
      <c r="A506" s="200" t="s"/>
      <c r="B506" s="257" t="s"/>
      <c r="C506" s="258" t="s"/>
      <c r="D506" s="259" t="s"/>
      <c r="E506" s="260" t="s"/>
      <c r="F506" s="199" t="s"/>
      <c r="G506" s="199" t="s"/>
      <c r="H506" s="96" t="s"/>
      <c r="I506" s="257" t="s"/>
      <c r="J506" s="97" t="s">
        <f>=_xlfn.TEXTJOIN("+",TRUE,_xlfn._xlws.FILTER(_xlfn.TEXTSPLIT(H506,,"+"),(_xlfn.TEXTSPLIT(H506,,"+")&lt;&gt;"埃米工具")*(_xlfn.TEXTSPLIT(H506,,"+")&lt;&gt;"埃米广告通")))</f>
      </c>
      <c r="K506" s="262" t="s"/>
      <c r="L506" s="199" t="s"/>
      <c r="M506" s="199" t="s"/>
      <c r="N506" s="199" t="s"/>
      <c r="O506" s="199" t="s"/>
      <c r="P506" s="199" t="s"/>
      <c r="Q506" s="241" t="s"/>
      <c r="R506" s="199" t="s"/>
      <c r="S506" s="199" t="s"/>
      <c r="T506" s="199" t="s"/>
      <c r="U506" s="199" t="s"/>
      <c r="V506" s="199" t="s"/>
      <c r="W506" s="199" t="s"/>
      <c r="X506" s="199" t="s"/>
      <c r="Y506" s="199" t="s"/>
      <c r="Z506" s="200" t="s"/>
      <c r="AA506" s="200" t="s"/>
      <c r="AB506" s="200" t="s"/>
      <c r="AC506" s="200" t="s"/>
      <c r="AD506" s="200" t="s"/>
      <c r="AE506" s="200" t="s"/>
      <c r="AF506" s="200" t="s"/>
      <c r="AG506" s="200" t="s"/>
      <c r="AH506" s="200" t="s"/>
      <c r="AI506" s="200" t="s"/>
      <c r="AJ506" s="200" t="s"/>
      <c r="AK506" s="200" t="s"/>
      <c r="AL506" s="200" t="s"/>
      <c r="AM506" s="200" t="s"/>
    </row>
    <row r="507" spans="1:39" s="431" customFormat="true">
      <c r="A507" s="200" t="s"/>
      <c r="B507" s="257" t="s"/>
      <c r="C507" s="258" t="s"/>
      <c r="D507" s="259" t="s"/>
      <c r="E507" s="260" t="s"/>
      <c r="F507" s="199" t="s"/>
      <c r="G507" s="199" t="s"/>
      <c r="H507" s="96" t="s"/>
      <c r="I507" s="257" t="s"/>
      <c r="J507" s="97" t="s">
        <f>=_xlfn.TEXTJOIN("+",TRUE,_xlfn._xlws.FILTER(_xlfn.TEXTSPLIT(H507,,"+"),(_xlfn.TEXTSPLIT(H507,,"+")&lt;&gt;"埃米工具")*(_xlfn.TEXTSPLIT(H507,,"+")&lt;&gt;"埃米广告通")))</f>
      </c>
      <c r="K507" s="262" t="s"/>
      <c r="L507" s="199" t="s"/>
      <c r="M507" s="199" t="s"/>
      <c r="N507" s="199" t="s"/>
      <c r="O507" s="199" t="s"/>
      <c r="P507" s="199" t="s"/>
      <c r="Q507" s="241" t="s"/>
      <c r="R507" s="199" t="s"/>
      <c r="S507" s="199" t="s"/>
      <c r="T507" s="199" t="s"/>
      <c r="U507" s="199" t="s"/>
      <c r="V507" s="199" t="s"/>
      <c r="W507" s="199" t="s"/>
      <c r="X507" s="199" t="s"/>
      <c r="Y507" s="199" t="s"/>
      <c r="Z507" s="200" t="s"/>
      <c r="AA507" s="200" t="s"/>
      <c r="AB507" s="200" t="s"/>
      <c r="AC507" s="200" t="s"/>
      <c r="AD507" s="200" t="s"/>
      <c r="AE507" s="200" t="s"/>
      <c r="AF507" s="200" t="s"/>
      <c r="AG507" s="200" t="s"/>
      <c r="AH507" s="200" t="s"/>
      <c r="AI507" s="200" t="s"/>
      <c r="AJ507" s="200" t="s"/>
      <c r="AK507" s="200" t="s"/>
      <c r="AL507" s="200" t="s"/>
      <c r="AM507" s="200" t="s"/>
    </row>
    <row r="508" spans="1:39" s="431" customFormat="true">
      <c r="A508" s="200" t="s"/>
      <c r="B508" s="257" t="s"/>
      <c r="C508" s="258" t="s"/>
      <c r="D508" s="259" t="s"/>
      <c r="E508" s="260" t="s"/>
      <c r="F508" s="199" t="s"/>
      <c r="G508" s="199" t="s"/>
      <c r="H508" s="96" t="s"/>
      <c r="I508" s="257" t="s"/>
      <c r="J508" s="97" t="s">
        <f>=_xlfn.TEXTJOIN("+",TRUE,_xlfn._xlws.FILTER(_xlfn.TEXTSPLIT(H508,,"+"),(_xlfn.TEXTSPLIT(H508,,"+")&lt;&gt;"埃米工具")*(_xlfn.TEXTSPLIT(H508,,"+")&lt;&gt;"埃米广告通")))</f>
      </c>
      <c r="K508" s="262" t="s"/>
      <c r="L508" s="199" t="s"/>
      <c r="M508" s="199" t="s"/>
      <c r="N508" s="199" t="s"/>
      <c r="O508" s="199" t="s"/>
      <c r="P508" s="199" t="s"/>
      <c r="Q508" s="241" t="s"/>
      <c r="R508" s="199" t="s"/>
      <c r="S508" s="199" t="s"/>
      <c r="T508" s="199" t="s"/>
      <c r="U508" s="199" t="s"/>
      <c r="V508" s="199" t="s"/>
      <c r="W508" s="199" t="s"/>
      <c r="X508" s="199" t="s"/>
      <c r="Y508" s="199" t="s"/>
      <c r="Z508" s="200" t="s"/>
      <c r="AA508" s="200" t="s"/>
      <c r="AB508" s="200" t="s"/>
      <c r="AC508" s="200" t="s"/>
      <c r="AD508" s="200" t="s"/>
      <c r="AE508" s="200" t="s"/>
      <c r="AF508" s="200" t="s"/>
      <c r="AG508" s="200" t="s"/>
      <c r="AH508" s="200" t="s"/>
      <c r="AI508" s="200" t="s"/>
      <c r="AJ508" s="200" t="s"/>
      <c r="AK508" s="200" t="s"/>
      <c r="AL508" s="200" t="s"/>
      <c r="AM508" s="200" t="s"/>
    </row>
    <row r="509" spans="1:39" s="431" customFormat="true">
      <c r="A509" s="200" t="s"/>
      <c r="B509" s="257" t="s"/>
      <c r="C509" s="258" t="s"/>
      <c r="D509" s="259" t="s"/>
      <c r="E509" s="260" t="s"/>
      <c r="F509" s="199" t="s"/>
      <c r="G509" s="199" t="s"/>
      <c r="H509" s="96" t="s"/>
      <c r="I509" s="257" t="s"/>
      <c r="J509" s="97" t="s">
        <f>=_xlfn.TEXTJOIN("+",TRUE,_xlfn._xlws.FILTER(_xlfn.TEXTSPLIT(H509,,"+"),(_xlfn.TEXTSPLIT(H509,,"+")&lt;&gt;"埃米工具")*(_xlfn.TEXTSPLIT(H509,,"+")&lt;&gt;"埃米广告通")))</f>
      </c>
      <c r="K509" s="262" t="s"/>
      <c r="L509" s="199" t="s"/>
      <c r="M509" s="199" t="s"/>
      <c r="N509" s="199" t="s"/>
      <c r="O509" s="199" t="s"/>
      <c r="P509" s="199" t="s"/>
      <c r="Q509" s="241" t="s"/>
      <c r="R509" s="199" t="s"/>
      <c r="S509" s="199" t="s"/>
      <c r="T509" s="199" t="s"/>
      <c r="U509" s="199" t="s"/>
      <c r="V509" s="199" t="s"/>
      <c r="W509" s="199" t="s"/>
      <c r="X509" s="199" t="s"/>
      <c r="Y509" s="199" t="s"/>
      <c r="Z509" s="200" t="s"/>
      <c r="AA509" s="200" t="s"/>
      <c r="AB509" s="200" t="s"/>
      <c r="AC509" s="200" t="s"/>
      <c r="AD509" s="200" t="s"/>
      <c r="AE509" s="200" t="s"/>
      <c r="AF509" s="200" t="s"/>
      <c r="AG509" s="200" t="s"/>
      <c r="AH509" s="200" t="s"/>
      <c r="AI509" s="200" t="s"/>
      <c r="AJ509" s="200" t="s"/>
      <c r="AK509" s="200" t="s"/>
      <c r="AL509" s="200" t="s"/>
      <c r="AM509" s="200" t="s"/>
    </row>
    <row r="510" spans="1:39" s="431" customFormat="true">
      <c r="A510" s="200" t="s"/>
      <c r="B510" s="257" t="s"/>
      <c r="C510" s="258" t="s"/>
      <c r="D510" s="259" t="s"/>
      <c r="E510" s="260" t="s"/>
      <c r="F510" s="199" t="s"/>
      <c r="G510" s="199" t="s"/>
      <c r="H510" s="96" t="s"/>
      <c r="I510" s="257" t="s"/>
      <c r="J510" s="97" t="s">
        <f>=_xlfn.TEXTJOIN("+",TRUE,_xlfn._xlws.FILTER(_xlfn.TEXTSPLIT(H510,,"+"),(_xlfn.TEXTSPLIT(H510,,"+")&lt;&gt;"埃米工具")*(_xlfn.TEXTSPLIT(H510,,"+")&lt;&gt;"埃米广告通")))</f>
      </c>
      <c r="K510" s="262" t="s"/>
      <c r="L510" s="199" t="s"/>
      <c r="M510" s="199" t="s"/>
      <c r="N510" s="199" t="s"/>
      <c r="O510" s="199" t="s"/>
      <c r="P510" s="199" t="s"/>
      <c r="Q510" s="241" t="s"/>
      <c r="R510" s="199" t="s"/>
      <c r="S510" s="199" t="s"/>
      <c r="T510" s="199" t="s"/>
      <c r="U510" s="199" t="s"/>
      <c r="V510" s="199" t="s"/>
      <c r="W510" s="199" t="s"/>
      <c r="X510" s="199" t="s"/>
      <c r="Y510" s="199" t="s"/>
      <c r="Z510" s="200" t="s"/>
      <c r="AA510" s="200" t="s"/>
      <c r="AB510" s="200" t="s"/>
      <c r="AC510" s="200" t="s"/>
      <c r="AD510" s="200" t="s"/>
      <c r="AE510" s="200" t="s"/>
      <c r="AF510" s="200" t="s"/>
      <c r="AG510" s="200" t="s"/>
      <c r="AH510" s="200" t="s"/>
      <c r="AI510" s="200" t="s"/>
      <c r="AJ510" s="200" t="s"/>
      <c r="AK510" s="200" t="s"/>
      <c r="AL510" s="200" t="s"/>
      <c r="AM510" s="200" t="s"/>
    </row>
    <row r="511" spans="1:39" s="431" customFormat="true">
      <c r="A511" s="200" t="s"/>
      <c r="B511" s="257" t="s"/>
      <c r="C511" s="258" t="s"/>
      <c r="D511" s="259" t="s"/>
      <c r="E511" s="260" t="s"/>
      <c r="F511" s="199" t="s"/>
      <c r="G511" s="199" t="s"/>
      <c r="H511" s="96" t="s"/>
      <c r="I511" s="257" t="s"/>
      <c r="J511" s="97" t="s">
        <f>=_xlfn.TEXTJOIN("+",TRUE,_xlfn._xlws.FILTER(_xlfn.TEXTSPLIT(H511,,"+"),(_xlfn.TEXTSPLIT(H511,,"+")&lt;&gt;"埃米工具")*(_xlfn.TEXTSPLIT(H511,,"+")&lt;&gt;"埃米广告通")))</f>
      </c>
      <c r="K511" s="262" t="s"/>
      <c r="L511" s="199" t="s"/>
      <c r="M511" s="199" t="s"/>
      <c r="N511" s="199" t="s"/>
      <c r="O511" s="199" t="s"/>
      <c r="P511" s="199" t="s"/>
      <c r="Q511" s="241" t="s"/>
      <c r="R511" s="199" t="s"/>
      <c r="S511" s="199" t="s"/>
      <c r="T511" s="199" t="s"/>
      <c r="U511" s="199" t="s"/>
      <c r="V511" s="199" t="s"/>
      <c r="W511" s="199" t="s"/>
      <c r="X511" s="199" t="s"/>
      <c r="Y511" s="199" t="s"/>
      <c r="Z511" s="200" t="s"/>
      <c r="AA511" s="200" t="s"/>
      <c r="AB511" s="200" t="s"/>
      <c r="AC511" s="200" t="s"/>
      <c r="AD511" s="200" t="s"/>
      <c r="AE511" s="200" t="s"/>
      <c r="AF511" s="200" t="s"/>
      <c r="AG511" s="200" t="s"/>
      <c r="AH511" s="200" t="s"/>
      <c r="AI511" s="200" t="s"/>
      <c r="AJ511" s="200" t="s"/>
      <c r="AK511" s="200" t="s"/>
      <c r="AL511" s="200" t="s"/>
      <c r="AM511" s="200" t="s"/>
    </row>
    <row r="512" spans="1:39" s="431" customFormat="true">
      <c r="A512" s="200" t="s"/>
      <c r="B512" s="257" t="s"/>
      <c r="C512" s="258" t="s"/>
      <c r="D512" s="259" t="s"/>
      <c r="E512" s="260" t="s"/>
      <c r="F512" s="199" t="s"/>
      <c r="G512" s="199" t="s"/>
      <c r="H512" s="96" t="s"/>
      <c r="I512" s="257" t="s"/>
      <c r="J512" s="97" t="s">
        <f>=_xlfn.TEXTJOIN("+",TRUE,_xlfn._xlws.FILTER(_xlfn.TEXTSPLIT(H512,,"+"),(_xlfn.TEXTSPLIT(H512,,"+")&lt;&gt;"埃米工具")*(_xlfn.TEXTSPLIT(H512,,"+")&lt;&gt;"埃米广告通")))</f>
      </c>
      <c r="K512" s="262" t="s"/>
      <c r="L512" s="199" t="s"/>
      <c r="M512" s="199" t="s"/>
      <c r="N512" s="199" t="s"/>
      <c r="O512" s="199" t="s"/>
      <c r="P512" s="199" t="s"/>
      <c r="Q512" s="241" t="s"/>
      <c r="R512" s="199" t="s"/>
      <c r="S512" s="199" t="s"/>
      <c r="T512" s="199" t="s"/>
      <c r="U512" s="199" t="s"/>
      <c r="V512" s="199" t="s"/>
      <c r="W512" s="199" t="s"/>
      <c r="X512" s="199" t="s"/>
      <c r="Y512" s="199" t="s"/>
      <c r="Z512" s="200" t="s"/>
      <c r="AA512" s="200" t="s"/>
      <c r="AB512" s="200" t="s"/>
      <c r="AC512" s="200" t="s"/>
      <c r="AD512" s="200" t="s"/>
      <c r="AE512" s="200" t="s"/>
      <c r="AF512" s="200" t="s"/>
      <c r="AG512" s="200" t="s"/>
      <c r="AH512" s="200" t="s"/>
      <c r="AI512" s="200" t="s"/>
      <c r="AJ512" s="200" t="s"/>
      <c r="AK512" s="200" t="s"/>
      <c r="AL512" s="200" t="s"/>
      <c r="AM512" s="200" t="s"/>
    </row>
    <row r="513" spans="1:39" s="431" customFormat="true">
      <c r="A513" s="200" t="s"/>
      <c r="B513" s="257" t="s"/>
      <c r="C513" s="258" t="s"/>
      <c r="D513" s="259" t="s"/>
      <c r="E513" s="260" t="s"/>
      <c r="F513" s="199" t="s"/>
      <c r="G513" s="199" t="s"/>
      <c r="H513" s="96" t="s"/>
      <c r="I513" s="257" t="s"/>
      <c r="J513" s="97" t="s">
        <f>=_xlfn.TEXTJOIN("+",TRUE,_xlfn._xlws.FILTER(_xlfn.TEXTSPLIT(H513,,"+"),(_xlfn.TEXTSPLIT(H513,,"+")&lt;&gt;"埃米工具")*(_xlfn.TEXTSPLIT(H513,,"+")&lt;&gt;"埃米广告通")))</f>
      </c>
      <c r="K513" s="262" t="s"/>
      <c r="L513" s="199" t="s"/>
      <c r="M513" s="199" t="s"/>
      <c r="N513" s="199" t="s"/>
      <c r="O513" s="199" t="s"/>
      <c r="P513" s="199" t="s"/>
      <c r="Q513" s="241" t="s"/>
      <c r="R513" s="199" t="s"/>
      <c r="S513" s="199" t="s"/>
      <c r="T513" s="199" t="s"/>
      <c r="U513" s="199" t="s"/>
      <c r="V513" s="199" t="s"/>
      <c r="W513" s="199" t="s"/>
      <c r="X513" s="199" t="s"/>
      <c r="Y513" s="199" t="s"/>
      <c r="Z513" s="200" t="s"/>
      <c r="AA513" s="200" t="s"/>
      <c r="AB513" s="200" t="s"/>
      <c r="AC513" s="200" t="s"/>
      <c r="AD513" s="200" t="s"/>
      <c r="AE513" s="200" t="s"/>
      <c r="AF513" s="200" t="s"/>
      <c r="AG513" s="200" t="s"/>
      <c r="AH513" s="200" t="s"/>
      <c r="AI513" s="200" t="s"/>
      <c r="AJ513" s="200" t="s"/>
      <c r="AK513" s="200" t="s"/>
      <c r="AL513" s="200" t="s"/>
      <c r="AM513" s="200" t="s"/>
    </row>
    <row r="514" spans="1:39" s="431" customFormat="true">
      <c r="A514" s="200" t="s"/>
      <c r="B514" s="257" t="s"/>
      <c r="C514" s="258" t="s"/>
      <c r="D514" s="259" t="s"/>
      <c r="E514" s="260" t="s"/>
      <c r="F514" s="199" t="s"/>
      <c r="G514" s="199" t="s"/>
      <c r="H514" s="96" t="s"/>
      <c r="I514" s="257" t="s"/>
      <c r="J514" s="97" t="s">
        <f>=_xlfn.TEXTJOIN("+",TRUE,_xlfn._xlws.FILTER(_xlfn.TEXTSPLIT(H514,,"+"),(_xlfn.TEXTSPLIT(H514,,"+")&lt;&gt;"埃米工具")*(_xlfn.TEXTSPLIT(H514,,"+")&lt;&gt;"埃米广告通")))</f>
      </c>
      <c r="K514" s="262" t="s"/>
      <c r="L514" s="199" t="s"/>
      <c r="M514" s="199" t="s"/>
      <c r="N514" s="199" t="s"/>
      <c r="O514" s="199" t="s"/>
      <c r="P514" s="199" t="s"/>
      <c r="Q514" s="241" t="s"/>
      <c r="R514" s="199" t="s"/>
      <c r="S514" s="199" t="s"/>
      <c r="T514" s="199" t="s"/>
      <c r="U514" s="199" t="s"/>
      <c r="V514" s="199" t="s"/>
      <c r="W514" s="199" t="s"/>
      <c r="X514" s="199" t="s"/>
      <c r="Y514" s="199" t="s"/>
      <c r="Z514" s="200" t="s"/>
      <c r="AA514" s="200" t="s"/>
      <c r="AB514" s="200" t="s"/>
      <c r="AC514" s="200" t="s"/>
      <c r="AD514" s="200" t="s"/>
      <c r="AE514" s="200" t="s"/>
      <c r="AF514" s="200" t="s"/>
      <c r="AG514" s="200" t="s"/>
      <c r="AH514" s="200" t="s"/>
      <c r="AI514" s="200" t="s"/>
      <c r="AJ514" s="200" t="s"/>
      <c r="AK514" s="200" t="s"/>
      <c r="AL514" s="200" t="s"/>
      <c r="AM514" s="200" t="s"/>
    </row>
    <row r="515" spans="1:39" s="431" customFormat="true">
      <c r="A515" s="200" t="s"/>
      <c r="B515" s="257" t="s"/>
      <c r="C515" s="258" t="s"/>
      <c r="D515" s="259" t="s"/>
      <c r="E515" s="260" t="s"/>
      <c r="F515" s="199" t="s"/>
      <c r="G515" s="199" t="s"/>
      <c r="H515" s="96" t="s"/>
      <c r="I515" s="257" t="s"/>
      <c r="J515" s="97" t="s">
        <f>=_xlfn.TEXTJOIN("+",TRUE,_xlfn._xlws.FILTER(_xlfn.TEXTSPLIT(H515,,"+"),(_xlfn.TEXTSPLIT(H515,,"+")&lt;&gt;"埃米工具")*(_xlfn.TEXTSPLIT(H515,,"+")&lt;&gt;"埃米广告通")))</f>
      </c>
      <c r="K515" s="262" t="s"/>
      <c r="L515" s="199" t="s"/>
      <c r="M515" s="199" t="s"/>
      <c r="N515" s="199" t="s"/>
      <c r="O515" s="199" t="s"/>
      <c r="P515" s="199" t="s"/>
      <c r="Q515" s="241" t="s"/>
      <c r="R515" s="199" t="s"/>
      <c r="S515" s="199" t="s"/>
      <c r="T515" s="199" t="s"/>
      <c r="U515" s="199" t="s"/>
      <c r="V515" s="199" t="s"/>
      <c r="W515" s="199" t="s"/>
      <c r="X515" s="199" t="s"/>
      <c r="Y515" s="199" t="s"/>
      <c r="Z515" s="200" t="s"/>
      <c r="AA515" s="200" t="s"/>
      <c r="AB515" s="200" t="s"/>
      <c r="AC515" s="200" t="s"/>
      <c r="AD515" s="200" t="s"/>
      <c r="AE515" s="200" t="s"/>
      <c r="AF515" s="200" t="s"/>
      <c r="AG515" s="200" t="s"/>
      <c r="AH515" s="200" t="s"/>
      <c r="AI515" s="200" t="s"/>
      <c r="AJ515" s="200" t="s"/>
      <c r="AK515" s="200" t="s"/>
      <c r="AL515" s="200" t="s"/>
      <c r="AM515" s="200" t="s"/>
    </row>
    <row r="516" spans="1:39" s="431" customFormat="true">
      <c r="A516" s="200" t="s"/>
      <c r="B516" s="257" t="s"/>
      <c r="C516" s="258" t="s"/>
      <c r="D516" s="259" t="s"/>
      <c r="E516" s="260" t="s"/>
      <c r="F516" s="199" t="s"/>
      <c r="G516" s="199" t="s"/>
      <c r="H516" s="96" t="s"/>
      <c r="I516" s="257" t="s"/>
      <c r="J516" s="97" t="s">
        <f>=_xlfn.TEXTJOIN("+",TRUE,_xlfn._xlws.FILTER(_xlfn.TEXTSPLIT(H516,,"+"),(_xlfn.TEXTSPLIT(H516,,"+")&lt;&gt;"埃米工具")*(_xlfn.TEXTSPLIT(H516,,"+")&lt;&gt;"埃米广告通")))</f>
      </c>
      <c r="K516" s="262" t="s"/>
      <c r="L516" s="199" t="s"/>
      <c r="M516" s="199" t="s"/>
      <c r="N516" s="199" t="s"/>
      <c r="O516" s="199" t="s"/>
      <c r="P516" s="199" t="s"/>
      <c r="Q516" s="241" t="s"/>
      <c r="R516" s="199" t="s"/>
      <c r="S516" s="199" t="s"/>
      <c r="T516" s="199" t="s"/>
      <c r="U516" s="199" t="s"/>
      <c r="V516" s="199" t="s"/>
      <c r="W516" s="199" t="s"/>
      <c r="X516" s="199" t="s"/>
      <c r="Y516" s="199" t="s"/>
      <c r="Z516" s="200" t="s"/>
      <c r="AA516" s="200" t="s"/>
      <c r="AB516" s="200" t="s"/>
      <c r="AC516" s="200" t="s"/>
      <c r="AD516" s="200" t="s"/>
      <c r="AE516" s="200" t="s"/>
      <c r="AF516" s="200" t="s"/>
      <c r="AG516" s="200" t="s"/>
      <c r="AH516" s="200" t="s"/>
      <c r="AI516" s="200" t="s"/>
      <c r="AJ516" s="200" t="s"/>
      <c r="AK516" s="200" t="s"/>
      <c r="AL516" s="200" t="s"/>
      <c r="AM516" s="200" t="s"/>
    </row>
    <row r="517" spans="1:39" s="431" customFormat="true">
      <c r="A517" s="200" t="s"/>
      <c r="B517" s="257" t="s"/>
      <c r="C517" s="258" t="s"/>
      <c r="D517" s="259" t="s"/>
      <c r="E517" s="260" t="s"/>
      <c r="F517" s="199" t="s"/>
      <c r="G517" s="199" t="s"/>
      <c r="H517" s="96" t="s"/>
      <c r="I517" s="257" t="s"/>
      <c r="J517" s="97" t="s">
        <f>=_xlfn.TEXTJOIN("+",TRUE,_xlfn._xlws.FILTER(_xlfn.TEXTSPLIT(H517,,"+"),(_xlfn.TEXTSPLIT(H517,,"+")&lt;&gt;"埃米工具")*(_xlfn.TEXTSPLIT(H517,,"+")&lt;&gt;"埃米广告通")))</f>
      </c>
      <c r="K517" s="262" t="s"/>
      <c r="L517" s="199" t="s"/>
      <c r="M517" s="199" t="s"/>
      <c r="N517" s="199" t="s"/>
      <c r="O517" s="199" t="s"/>
      <c r="P517" s="199" t="s"/>
      <c r="Q517" s="241" t="s"/>
      <c r="R517" s="199" t="s"/>
      <c r="S517" s="199" t="s"/>
      <c r="T517" s="199" t="s"/>
      <c r="U517" s="199" t="s"/>
      <c r="V517" s="199" t="s"/>
      <c r="W517" s="199" t="s"/>
      <c r="X517" s="199" t="s"/>
      <c r="Y517" s="199" t="s"/>
      <c r="Z517" s="200" t="s"/>
      <c r="AA517" s="200" t="s"/>
      <c r="AB517" s="200" t="s"/>
      <c r="AC517" s="200" t="s"/>
      <c r="AD517" s="200" t="s"/>
      <c r="AE517" s="200" t="s"/>
      <c r="AF517" s="200" t="s"/>
      <c r="AG517" s="200" t="s"/>
      <c r="AH517" s="200" t="s"/>
      <c r="AI517" s="200" t="s"/>
      <c r="AJ517" s="200" t="s"/>
      <c r="AK517" s="200" t="s"/>
      <c r="AL517" s="200" t="s"/>
      <c r="AM517" s="200" t="s"/>
    </row>
    <row r="518" spans="1:39" s="431" customFormat="true">
      <c r="A518" s="200" t="s"/>
      <c r="B518" s="257" t="s"/>
      <c r="C518" s="258" t="s"/>
      <c r="D518" s="259" t="s"/>
      <c r="E518" s="260" t="s"/>
      <c r="F518" s="199" t="s"/>
      <c r="G518" s="199" t="s"/>
      <c r="H518" s="96" t="s"/>
      <c r="I518" s="257" t="s"/>
      <c r="J518" s="97" t="s">
        <f>=_xlfn.TEXTJOIN("+",TRUE,_xlfn._xlws.FILTER(_xlfn.TEXTSPLIT(H518,,"+"),(_xlfn.TEXTSPLIT(H518,,"+")&lt;&gt;"埃米工具")*(_xlfn.TEXTSPLIT(H518,,"+")&lt;&gt;"埃米广告通")))</f>
      </c>
      <c r="K518" s="262" t="s"/>
      <c r="L518" s="199" t="s"/>
      <c r="M518" s="199" t="s"/>
      <c r="N518" s="199" t="s"/>
      <c r="O518" s="199" t="s"/>
      <c r="P518" s="199" t="s"/>
      <c r="Q518" s="241" t="s"/>
      <c r="R518" s="199" t="s"/>
      <c r="S518" s="199" t="s"/>
      <c r="T518" s="199" t="s"/>
      <c r="U518" s="199" t="s"/>
      <c r="V518" s="199" t="s"/>
      <c r="W518" s="199" t="s"/>
      <c r="X518" s="199" t="s"/>
      <c r="Y518" s="199" t="s"/>
      <c r="Z518" s="200" t="s"/>
      <c r="AA518" s="200" t="s"/>
      <c r="AB518" s="200" t="s"/>
      <c r="AC518" s="200" t="s"/>
      <c r="AD518" s="200" t="s"/>
      <c r="AE518" s="200" t="s"/>
      <c r="AF518" s="200" t="s"/>
      <c r="AG518" s="200" t="s"/>
      <c r="AH518" s="200" t="s"/>
      <c r="AI518" s="200" t="s"/>
      <c r="AJ518" s="200" t="s"/>
      <c r="AK518" s="200" t="s"/>
      <c r="AL518" s="200" t="s"/>
      <c r="AM518" s="200" t="s"/>
    </row>
    <row r="519" spans="1:39" s="431" customFormat="true">
      <c r="A519" s="200" t="s"/>
      <c r="B519" s="257" t="s"/>
      <c r="C519" s="258" t="s"/>
      <c r="D519" s="259" t="s"/>
      <c r="E519" s="260" t="s"/>
      <c r="F519" s="199" t="s"/>
      <c r="G519" s="199" t="s"/>
      <c r="H519" s="96" t="s"/>
      <c r="I519" s="257" t="s"/>
      <c r="J519" s="97" t="s">
        <f>=_xlfn.TEXTJOIN("+",TRUE,_xlfn._xlws.FILTER(_xlfn.TEXTSPLIT(H519,,"+"),(_xlfn.TEXTSPLIT(H519,,"+")&lt;&gt;"埃米工具")*(_xlfn.TEXTSPLIT(H519,,"+")&lt;&gt;"埃米广告通")))</f>
      </c>
      <c r="K519" s="262" t="s"/>
      <c r="L519" s="199" t="s"/>
      <c r="M519" s="199" t="s"/>
      <c r="N519" s="199" t="s"/>
      <c r="O519" s="199" t="s"/>
      <c r="P519" s="199" t="s"/>
      <c r="Q519" s="241" t="s"/>
      <c r="R519" s="199" t="s"/>
      <c r="S519" s="199" t="s"/>
      <c r="T519" s="199" t="s"/>
      <c r="U519" s="199" t="s"/>
      <c r="V519" s="199" t="s"/>
      <c r="W519" s="199" t="s"/>
      <c r="X519" s="199" t="s"/>
      <c r="Y519" s="199" t="s"/>
      <c r="Z519" s="200" t="s"/>
      <c r="AA519" s="200" t="s"/>
      <c r="AB519" s="200" t="s"/>
      <c r="AC519" s="200" t="s"/>
      <c r="AD519" s="200" t="s"/>
      <c r="AE519" s="200" t="s"/>
      <c r="AF519" s="200" t="s"/>
      <c r="AG519" s="200" t="s"/>
      <c r="AH519" s="200" t="s"/>
      <c r="AI519" s="200" t="s"/>
      <c r="AJ519" s="200" t="s"/>
      <c r="AK519" s="200" t="s"/>
      <c r="AL519" s="200" t="s"/>
      <c r="AM519" s="200" t="s"/>
    </row>
    <row r="520" spans="1:39" s="431" customFormat="true">
      <c r="A520" s="200" t="s"/>
      <c r="B520" s="257" t="s"/>
      <c r="C520" s="258" t="s"/>
      <c r="D520" s="259" t="s"/>
      <c r="E520" s="260" t="s"/>
      <c r="F520" s="199" t="s"/>
      <c r="G520" s="199" t="s"/>
      <c r="H520" s="96" t="s"/>
      <c r="I520" s="257" t="s"/>
      <c r="J520" s="97" t="s">
        <f>=_xlfn.TEXTJOIN("+",TRUE,_xlfn._xlws.FILTER(_xlfn.TEXTSPLIT(H520,,"+"),(_xlfn.TEXTSPLIT(H520,,"+")&lt;&gt;"埃米工具")*(_xlfn.TEXTSPLIT(H520,,"+")&lt;&gt;"埃米广告通")))</f>
      </c>
      <c r="K520" s="262" t="s"/>
      <c r="L520" s="199" t="s"/>
      <c r="M520" s="199" t="s"/>
      <c r="N520" s="199" t="s"/>
      <c r="O520" s="199" t="s"/>
      <c r="P520" s="199" t="s"/>
      <c r="Q520" s="241" t="s"/>
      <c r="R520" s="199" t="s"/>
      <c r="S520" s="199" t="s"/>
      <c r="T520" s="199" t="s"/>
      <c r="U520" s="199" t="s"/>
      <c r="V520" s="199" t="s"/>
      <c r="W520" s="199" t="s"/>
      <c r="X520" s="199" t="s"/>
      <c r="Y520" s="199" t="s"/>
      <c r="Z520" s="200" t="s"/>
      <c r="AA520" s="200" t="s"/>
      <c r="AB520" s="200" t="s"/>
      <c r="AC520" s="200" t="s"/>
      <c r="AD520" s="200" t="s"/>
      <c r="AE520" s="200" t="s"/>
      <c r="AF520" s="200" t="s"/>
      <c r="AG520" s="200" t="s"/>
      <c r="AH520" s="200" t="s"/>
      <c r="AI520" s="200" t="s"/>
      <c r="AJ520" s="200" t="s"/>
      <c r="AK520" s="200" t="s"/>
      <c r="AL520" s="200" t="s"/>
      <c r="AM520" s="200" t="s"/>
    </row>
    <row r="521" spans="1:39" s="431" customFormat="true">
      <c r="A521" s="200" t="s"/>
      <c r="B521" s="257" t="s"/>
      <c r="C521" s="258" t="s"/>
      <c r="D521" s="259" t="s"/>
      <c r="E521" s="260" t="s"/>
      <c r="F521" s="199" t="s"/>
      <c r="G521" s="199" t="s"/>
      <c r="H521" s="96" t="s"/>
      <c r="I521" s="257" t="s"/>
      <c r="J521" s="97" t="s">
        <f>=_xlfn.TEXTJOIN("+",TRUE,_xlfn._xlws.FILTER(_xlfn.TEXTSPLIT(H521,,"+"),(_xlfn.TEXTSPLIT(H521,,"+")&lt;&gt;"埃米工具")*(_xlfn.TEXTSPLIT(H521,,"+")&lt;&gt;"埃米广告通")))</f>
      </c>
      <c r="K521" s="262" t="s"/>
      <c r="L521" s="199" t="s"/>
      <c r="M521" s="199" t="s"/>
      <c r="N521" s="199" t="s"/>
      <c r="O521" s="199" t="s"/>
      <c r="P521" s="199" t="s"/>
      <c r="Q521" s="241" t="s"/>
      <c r="R521" s="199" t="s"/>
      <c r="S521" s="199" t="s"/>
      <c r="T521" s="199" t="s"/>
      <c r="U521" s="199" t="s"/>
      <c r="V521" s="199" t="s"/>
      <c r="W521" s="199" t="s"/>
      <c r="X521" s="199" t="s"/>
      <c r="Y521" s="199" t="s"/>
      <c r="Z521" s="200" t="s"/>
      <c r="AA521" s="200" t="s"/>
      <c r="AB521" s="200" t="s"/>
      <c r="AC521" s="200" t="s"/>
      <c r="AD521" s="200" t="s"/>
      <c r="AE521" s="200" t="s"/>
      <c r="AF521" s="200" t="s"/>
      <c r="AG521" s="200" t="s"/>
      <c r="AH521" s="200" t="s"/>
      <c r="AI521" s="200" t="s"/>
      <c r="AJ521" s="200" t="s"/>
      <c r="AK521" s="200" t="s"/>
      <c r="AL521" s="200" t="s"/>
      <c r="AM521" s="200" t="s"/>
    </row>
    <row r="522" spans="1:39" s="431" customFormat="true">
      <c r="A522" s="200" t="s"/>
      <c r="B522" s="257" t="s"/>
      <c r="C522" s="258" t="s"/>
      <c r="D522" s="259" t="s"/>
      <c r="E522" s="260" t="s"/>
      <c r="F522" s="199" t="s"/>
      <c r="G522" s="199" t="s"/>
      <c r="H522" s="96" t="s"/>
      <c r="I522" s="257" t="s"/>
      <c r="J522" s="97" t="s">
        <f>=_xlfn.TEXTJOIN("+",TRUE,_xlfn._xlws.FILTER(_xlfn.TEXTSPLIT(H522,,"+"),(_xlfn.TEXTSPLIT(H522,,"+")&lt;&gt;"埃米工具")*(_xlfn.TEXTSPLIT(H522,,"+")&lt;&gt;"埃米广告通")))</f>
      </c>
      <c r="K522" s="262" t="s"/>
      <c r="L522" s="199" t="s"/>
      <c r="M522" s="199" t="s"/>
      <c r="N522" s="199" t="s"/>
      <c r="O522" s="199" t="s"/>
      <c r="P522" s="199" t="s"/>
      <c r="Q522" s="241" t="s"/>
      <c r="R522" s="199" t="s"/>
      <c r="S522" s="199" t="s"/>
      <c r="T522" s="199" t="s"/>
      <c r="U522" s="199" t="s"/>
      <c r="V522" s="199" t="s"/>
      <c r="W522" s="199" t="s"/>
      <c r="X522" s="199" t="s"/>
      <c r="Y522" s="199" t="s"/>
      <c r="Z522" s="200" t="s"/>
      <c r="AA522" s="200" t="s"/>
      <c r="AB522" s="200" t="s"/>
      <c r="AC522" s="200" t="s"/>
      <c r="AD522" s="200" t="s"/>
      <c r="AE522" s="200" t="s"/>
      <c r="AF522" s="200" t="s"/>
      <c r="AG522" s="200" t="s"/>
      <c r="AH522" s="200" t="s"/>
      <c r="AI522" s="200" t="s"/>
      <c r="AJ522" s="200" t="s"/>
      <c r="AK522" s="200" t="s"/>
      <c r="AL522" s="200" t="s"/>
      <c r="AM522" s="200" t="s"/>
    </row>
    <row r="523" spans="1:39" s="431" customFormat="true">
      <c r="A523" s="200" t="s"/>
      <c r="B523" s="257" t="s"/>
      <c r="C523" s="258" t="s"/>
      <c r="D523" s="259" t="s"/>
      <c r="E523" s="260" t="s"/>
      <c r="F523" s="199" t="s"/>
      <c r="G523" s="199" t="s"/>
      <c r="H523" s="96" t="s"/>
      <c r="I523" s="257" t="s"/>
      <c r="J523" s="97" t="s">
        <f>=_xlfn.TEXTJOIN("+",TRUE,_xlfn._xlws.FILTER(_xlfn.TEXTSPLIT(H523,,"+"),(_xlfn.TEXTSPLIT(H523,,"+")&lt;&gt;"埃米工具")*(_xlfn.TEXTSPLIT(H523,,"+")&lt;&gt;"埃米广告通")))</f>
      </c>
      <c r="K523" s="262" t="s"/>
      <c r="L523" s="199" t="s"/>
      <c r="M523" s="199" t="s"/>
      <c r="N523" s="199" t="s"/>
      <c r="O523" s="199" t="s"/>
      <c r="P523" s="199" t="s"/>
      <c r="Q523" s="241" t="s"/>
      <c r="R523" s="199" t="s"/>
      <c r="S523" s="199" t="s"/>
      <c r="T523" s="199" t="s"/>
      <c r="U523" s="199" t="s"/>
      <c r="V523" s="199" t="s"/>
      <c r="W523" s="199" t="s"/>
      <c r="X523" s="199" t="s"/>
      <c r="Y523" s="199" t="s"/>
      <c r="Z523" s="200" t="s"/>
      <c r="AA523" s="200" t="s"/>
      <c r="AB523" s="200" t="s"/>
      <c r="AC523" s="200" t="s"/>
      <c r="AD523" s="200" t="s"/>
      <c r="AE523" s="200" t="s"/>
      <c r="AF523" s="200" t="s"/>
      <c r="AG523" s="200" t="s"/>
      <c r="AH523" s="200" t="s"/>
      <c r="AI523" s="200" t="s"/>
      <c r="AJ523" s="200" t="s"/>
      <c r="AK523" s="200" t="s"/>
      <c r="AL523" s="200" t="s"/>
      <c r="AM523" s="200" t="s"/>
    </row>
    <row r="524" spans="1:39" s="431" customFormat="true">
      <c r="A524" s="200" t="s"/>
      <c r="B524" s="257" t="s"/>
      <c r="C524" s="258" t="s"/>
      <c r="D524" s="259" t="s"/>
      <c r="E524" s="260" t="s"/>
      <c r="F524" s="199" t="s"/>
      <c r="G524" s="199" t="s"/>
      <c r="H524" s="96" t="s"/>
      <c r="I524" s="257" t="s"/>
      <c r="J524" s="97" t="s">
        <f>=_xlfn.TEXTJOIN("+",TRUE,_xlfn._xlws.FILTER(_xlfn.TEXTSPLIT(H524,,"+"),(_xlfn.TEXTSPLIT(H524,,"+")&lt;&gt;"埃米工具")*(_xlfn.TEXTSPLIT(H524,,"+")&lt;&gt;"埃米广告通")))</f>
      </c>
      <c r="K524" s="262" t="s"/>
      <c r="L524" s="199" t="s"/>
      <c r="M524" s="199" t="s"/>
      <c r="N524" s="199" t="s"/>
      <c r="O524" s="199" t="s"/>
      <c r="P524" s="199" t="s"/>
      <c r="Q524" s="241" t="s"/>
      <c r="R524" s="199" t="s"/>
      <c r="S524" s="199" t="s"/>
      <c r="T524" s="199" t="s"/>
      <c r="U524" s="199" t="s"/>
      <c r="V524" s="199" t="s"/>
      <c r="W524" s="199" t="s"/>
      <c r="X524" s="199" t="s"/>
      <c r="Y524" s="199" t="s"/>
      <c r="Z524" s="200" t="s"/>
      <c r="AA524" s="200" t="s"/>
      <c r="AB524" s="200" t="s"/>
      <c r="AC524" s="200" t="s"/>
      <c r="AD524" s="200" t="s"/>
      <c r="AE524" s="200" t="s"/>
      <c r="AF524" s="200" t="s"/>
      <c r="AG524" s="200" t="s"/>
      <c r="AH524" s="200" t="s"/>
      <c r="AI524" s="200" t="s"/>
      <c r="AJ524" s="200" t="s"/>
      <c r="AK524" s="200" t="s"/>
      <c r="AL524" s="200" t="s"/>
      <c r="AM524" s="200" t="s"/>
    </row>
    <row r="525" spans="1:39" s="431" customFormat="true">
      <c r="A525" s="200" t="s"/>
      <c r="B525" s="257" t="s"/>
      <c r="C525" s="258" t="s"/>
      <c r="D525" s="259" t="s"/>
      <c r="E525" s="260" t="s"/>
      <c r="F525" s="199" t="s"/>
      <c r="G525" s="199" t="s"/>
      <c r="H525" s="96" t="s"/>
      <c r="I525" s="257" t="s"/>
      <c r="J525" s="97" t="s">
        <f>=_xlfn.TEXTJOIN("+",TRUE,_xlfn._xlws.FILTER(_xlfn.TEXTSPLIT(H525,,"+"),(_xlfn.TEXTSPLIT(H525,,"+")&lt;&gt;"埃米工具")*(_xlfn.TEXTSPLIT(H525,,"+")&lt;&gt;"埃米广告通")))</f>
      </c>
      <c r="K525" s="262" t="s"/>
      <c r="L525" s="199" t="s"/>
      <c r="M525" s="199" t="s"/>
      <c r="N525" s="199" t="s"/>
      <c r="O525" s="199" t="s"/>
      <c r="P525" s="199" t="s"/>
      <c r="Q525" s="241" t="s"/>
      <c r="R525" s="199" t="s"/>
      <c r="S525" s="199" t="s"/>
      <c r="T525" s="199" t="s"/>
      <c r="U525" s="199" t="s"/>
      <c r="V525" s="199" t="s"/>
      <c r="W525" s="199" t="s"/>
      <c r="X525" s="199" t="s"/>
      <c r="Y525" s="199" t="s"/>
      <c r="Z525" s="200" t="s"/>
      <c r="AA525" s="200" t="s"/>
      <c r="AB525" s="200" t="s"/>
      <c r="AC525" s="200" t="s"/>
      <c r="AD525" s="200" t="s"/>
      <c r="AE525" s="200" t="s"/>
      <c r="AF525" s="200" t="s"/>
      <c r="AG525" s="200" t="s"/>
      <c r="AH525" s="200" t="s"/>
      <c r="AI525" s="200" t="s"/>
      <c r="AJ525" s="200" t="s"/>
      <c r="AK525" s="200" t="s"/>
      <c r="AL525" s="200" t="s"/>
      <c r="AM525" s="200" t="s"/>
    </row>
    <row r="526" spans="1:39" s="431" customFormat="true">
      <c r="A526" s="200" t="s"/>
      <c r="B526" s="257" t="s"/>
      <c r="C526" s="258" t="s"/>
      <c r="D526" s="259" t="s"/>
      <c r="E526" s="260" t="s"/>
      <c r="F526" s="199" t="s"/>
      <c r="G526" s="199" t="s"/>
      <c r="H526" s="96" t="s"/>
      <c r="I526" s="257" t="s"/>
      <c r="J526" s="97" t="s">
        <f>=_xlfn.TEXTJOIN("+",TRUE,_xlfn._xlws.FILTER(_xlfn.TEXTSPLIT(H526,,"+"),(_xlfn.TEXTSPLIT(H526,,"+")&lt;&gt;"埃米工具")*(_xlfn.TEXTSPLIT(H526,,"+")&lt;&gt;"埃米广告通")))</f>
      </c>
      <c r="K526" s="262" t="s"/>
      <c r="L526" s="199" t="s"/>
      <c r="M526" s="199" t="s"/>
      <c r="N526" s="199" t="s"/>
      <c r="O526" s="199" t="s"/>
      <c r="P526" s="199" t="s"/>
      <c r="Q526" s="241" t="s"/>
      <c r="R526" s="199" t="s"/>
      <c r="S526" s="199" t="s"/>
      <c r="T526" s="199" t="s"/>
      <c r="U526" s="199" t="s"/>
      <c r="V526" s="199" t="s"/>
      <c r="W526" s="199" t="s"/>
      <c r="X526" s="199" t="s"/>
      <c r="Y526" s="199" t="s"/>
      <c r="Z526" s="200" t="s"/>
      <c r="AA526" s="200" t="s"/>
      <c r="AB526" s="200" t="s"/>
      <c r="AC526" s="200" t="s"/>
      <c r="AD526" s="200" t="s"/>
      <c r="AE526" s="200" t="s"/>
      <c r="AF526" s="200" t="s"/>
      <c r="AG526" s="200" t="s"/>
      <c r="AH526" s="200" t="s"/>
      <c r="AI526" s="200" t="s"/>
      <c r="AJ526" s="200" t="s"/>
      <c r="AK526" s="200" t="s"/>
      <c r="AL526" s="200" t="s"/>
      <c r="AM526" s="200" t="s"/>
    </row>
  </sheetData>
  <customSheetViews>
    <customSheetView guid="{C88EB5EB-B8D3-4F22-936A-0B933C106AB0}" hiddenRows="true" hiddenColumns="true"/>
  </customSheetViews>
  <conditionalFormatting sqref="B1:B471 G472:G474 B475:B476">
    <cfRule type="duplicateValues" dxfId="0" priority="1"/>
  </conditionalFormatting>
  <conditionalFormatting sqref="B1:B466 G472:G473 B475:B476">
    <cfRule type="duplicateValues" dxfId="0" priority="2"/>
  </conditionalFormatting>
  <conditionalFormatting sqref="B1:B455 G456:G460 B461 G462:G463 B464:B466 G472:G473 B475:B476">
    <cfRule type="duplicateValues" dxfId="0" priority="3"/>
  </conditionalFormatting>
  <conditionalFormatting sqref="B1:B451 G452:G460 B461 G462:G463 B464:B466 G472:G473 B475:B476">
    <cfRule type="duplicateValues" dxfId="0" priority="4"/>
  </conditionalFormatting>
  <conditionalFormatting sqref="B1:B451 G452:G460 B461 G462:G463 B464:B466 G472:G473 B475:B476">
    <cfRule type="duplicateValues" dxfId="0" priority="5"/>
  </conditionalFormatting>
  <conditionalFormatting sqref="B1:B422 B427:B443">
    <cfRule type="duplicateValues" dxfId="0" priority="6"/>
  </conditionalFormatting>
  <conditionalFormatting sqref="B1:B413 B416:B418">
    <cfRule type="duplicateValues" dxfId="0" priority="7"/>
  </conditionalFormatting>
  <conditionalFormatting sqref="B1:B409 B411:B413 B416:B418">
    <cfRule type="duplicateValues" dxfId="0" priority="8"/>
  </conditionalFormatting>
  <conditionalFormatting sqref="B1:B399 B408:B409 B411:B413 B416:B418">
    <cfRule type="duplicateValues" dxfId="0" priority="9"/>
  </conditionalFormatting>
  <conditionalFormatting sqref="B1:B363">
    <cfRule type="duplicateValues" dxfId="0" priority="10"/>
  </conditionalFormatting>
  <conditionalFormatting sqref="B1:B363">
    <cfRule type="duplicateValues" dxfId="0" priority="11"/>
  </conditionalFormatting>
  <conditionalFormatting sqref="B1:B351 B360:B361">
    <cfRule type="duplicateValues" dxfId="0" priority="12"/>
  </conditionalFormatting>
  <conditionalFormatting sqref="B1:B343 B351 B360:B361">
    <cfRule type="duplicateValues" dxfId="0" priority="13"/>
  </conditionalFormatting>
  <conditionalFormatting sqref="B1:B334 B343 B351 B360:B361">
    <cfRule type="duplicateValues" dxfId="0" priority="14"/>
  </conditionalFormatting>
  <conditionalFormatting sqref="G263:G266 G289:G291">
    <cfRule type="duplicateValues" dxfId="0" priority="15"/>
  </conditionalFormatting>
  <conditionalFormatting sqref="G257:G262">
    <cfRule type="duplicateValues" dxfId="0" priority="16"/>
  </conditionalFormatting>
  <conditionalFormatting sqref="G254:G262">
    <cfRule type="duplicateValues" dxfId="0" priority="17"/>
  </conditionalFormatting>
  <conditionalFormatting sqref="G251:G252">
    <cfRule type="duplicateValues" dxfId="0" priority="18"/>
  </conditionalFormatting>
  <conditionalFormatting sqref="G209:G210">
    <cfRule type="duplicateValues" dxfId="0" priority="19"/>
  </conditionalFormatting>
  <dataValidations>
    <dataValidation type="list" errorStyle="stop" allowBlank="true" showDropDown="false" showInputMessage="true" showErrorMessage="true" prompt="" sqref="Q2:Q1048576">
      <formula1>"签A推B,延迟交付,投诉,退款,变更公司名称,"</formula1>
    </dataValidation>
    <dataValidation type="list" errorStyle="stop" allowBlank="true" showDropDown="false" showInputMessage="true" showErrorMessage="true" prompt="" sqref="H2:H1048576">
      <formula1>"埃米平台+埃米陪跑服务,埃米平台+埃米代运营服务+埃米广告通,埃米平台,埃米平台+广告通,"</formula1>
    </dataValidation>
    <dataValidation type="list" errorStyle="stop" allowBlank="true" showDropDown="false" showInputMessage="true" showErrorMessage="true" prompt="" sqref="N2:N1048576">
      <formula1>"服务中,已退款,交付完成,服务状态,"</formula1>
    </dataValidation>
    <dataValidation type="list" errorStyle="stop" allowBlank="true" showDropDown="false" showInputMessage="true" showErrorMessage="true" prompt="" sqref="L232">
      <formula1>"TK, X, INS, Youtube, FB, VK, Linkedin,"</formula1>
    </dataValidation>
    <dataValidation type="list" errorStyle="stop" allowBlank="true" showDropDown="false" showInputMessage="true" showErrorMessage="true" prompt="" sqref="M2:M109">
      <formula1>"TK, X, INS, Youtube, FB, VK, Linkedin,"</formula1>
    </dataValidation>
    <dataValidation type="list" errorStyle="stop" allowBlank="true" showDropDown="false" showInputMessage="true" showErrorMessage="true" prompt="" sqref="M111:M114">
      <formula1>"TK, X, INS, Youtube, FB, VK, Linkedin,"</formula1>
    </dataValidation>
    <dataValidation type="list" errorStyle="stop" allowBlank="true" showDropDown="false" showInputMessage="true" showErrorMessage="true" prompt="" sqref="M116:M127">
      <formula1>"TK, X, INS, Youtube, FB, VK, Linkedin,"</formula1>
    </dataValidation>
    <dataValidation type="list" errorStyle="stop" allowBlank="true" showDropDown="false" showInputMessage="true" showErrorMessage="true" prompt="" sqref="M129:M140">
      <formula1>"TK, X, INS, Youtube, FB, VK, Linkedin,"</formula1>
    </dataValidation>
    <dataValidation type="list" errorStyle="stop" allowBlank="true" showDropDown="false" showInputMessage="true" showErrorMessage="true" prompt="" sqref="M142:M228">
      <formula1>"TK, X, INS, Youtube, FB, VK, Linkedin,"</formula1>
    </dataValidation>
    <dataValidation type="list" errorStyle="stop" allowBlank="true" showDropDown="false" showInputMessage="true" showErrorMessage="true" prompt="" sqref="M230:M248">
      <formula1>"TK, X, INS, Youtube, FB, VK, Linkedin,"</formula1>
    </dataValidation>
    <dataValidation type="list" errorStyle="stop" allowBlank="true" showDropDown="false" showInputMessage="true" showErrorMessage="true" prompt="" sqref="M250:M251">
      <formula1>"TK, X, INS, Youtube, FB, VK, Linkedin,"</formula1>
    </dataValidation>
    <dataValidation type="list" errorStyle="stop" allowBlank="true" showDropDown="false" showInputMessage="true" showErrorMessage="true" prompt="" sqref="M254:M264">
      <formula1>"TK, X, INS, Youtube, FB, VK, Linkedin,"</formula1>
    </dataValidation>
    <dataValidation type="list" errorStyle="stop" allowBlank="true" showDropDown="false" showInputMessage="true" showErrorMessage="true" prompt="" sqref="M266:M268">
      <formula1>"TK, X, INS, Youtube, FB, VK, Linkedin,"</formula1>
    </dataValidation>
    <dataValidation type="list" errorStyle="stop" allowBlank="true" showDropDown="false" showInputMessage="true" showErrorMessage="true" prompt="" sqref="M271:M279">
      <formula1>"TK, X, INS, Youtube, FB, VK, Linkedin,"</formula1>
    </dataValidation>
    <dataValidation type="list" errorStyle="stop" allowBlank="true" showDropDown="false" showInputMessage="true" showErrorMessage="true" prompt="" sqref="M281:M285">
      <formula1>"TK, X, INS, Youtube, FB, VK, Linkedin,"</formula1>
    </dataValidation>
    <dataValidation type="list" errorStyle="stop" allowBlank="true" showDropDown="false" showInputMessage="true" showErrorMessage="true" prompt="" sqref="M288">
      <formula1>"TK, X, INS, Youtube, FB, VK, Linkedin,"</formula1>
    </dataValidation>
    <dataValidation type="list" errorStyle="stop" allowBlank="true" showDropDown="false" showInputMessage="true" showErrorMessage="true" prompt="" sqref="M290:M292">
      <formula1>"TK, X, INS, Youtube, FB, VK, Linkedin,"</formula1>
    </dataValidation>
    <dataValidation type="list" errorStyle="stop" allowBlank="true" showDropDown="false" showInputMessage="true" showErrorMessage="true" prompt="" sqref="M294:M297">
      <formula1>"TK, X, INS, Youtube, FB, VK, Linkedin,"</formula1>
    </dataValidation>
    <dataValidation type="list" errorStyle="stop" allowBlank="true" showDropDown="false" showInputMessage="true" showErrorMessage="true" prompt="" sqref="M300:M302">
      <formula1>"TK, X, INS, Youtube, FB, VK, Linkedin,"</formula1>
    </dataValidation>
    <dataValidation type="list" errorStyle="stop" allowBlank="true" showDropDown="false" showInputMessage="true" showErrorMessage="true" prompt="" sqref="M304:M309">
      <formula1>"TK, X, INS, Youtube, FB, VK, Linkedin,"</formula1>
    </dataValidation>
    <dataValidation type="list" errorStyle="stop" allowBlank="true" showDropDown="false" showInputMessage="true" showErrorMessage="true" prompt="" sqref="M311:M316">
      <formula1>"TK, X, INS, Youtube, FB, VK, Linkedin,"</formula1>
    </dataValidation>
    <dataValidation type="list" errorStyle="stop" allowBlank="true" showDropDown="false" showInputMessage="true" showErrorMessage="true" prompt="" sqref="M318">
      <formula1>"TK, X, INS, Youtube, FB, VK, Linkedin,"</formula1>
    </dataValidation>
    <dataValidation type="list" errorStyle="stop" allowBlank="true" showDropDown="false" showInputMessage="true" showErrorMessage="true" prompt="" sqref="M321:M322">
      <formula1>"TK, X, INS, Youtube, FB, VK, Linkedin,"</formula1>
    </dataValidation>
    <dataValidation type="list" errorStyle="stop" allowBlank="true" showDropDown="false" showInputMessage="true" showErrorMessage="true" prompt="" sqref="M324:M326">
      <formula1>"TK, X, INS, Youtube, FB, VK, Linkedin,"</formula1>
    </dataValidation>
    <dataValidation type="list" errorStyle="stop" allowBlank="true" showDropDown="false" showInputMessage="true" showErrorMessage="true" prompt="" sqref="M328:M336">
      <formula1>"TK, X, INS, Youtube, FB, VK, Linkedin,"</formula1>
    </dataValidation>
    <dataValidation type="list" errorStyle="stop" allowBlank="true" showDropDown="false" showInputMessage="true" showErrorMessage="true" prompt="" sqref="M338:M344">
      <formula1>"TK, X, INS, Youtube, FB, VK, Linkedin,"</formula1>
    </dataValidation>
    <dataValidation type="list" errorStyle="stop" allowBlank="true" showDropDown="false" showInputMessage="true" showErrorMessage="true" prompt="" sqref="M347:M349">
      <formula1>"TK, X, INS, Youtube, FB, VK, Linkedin,"</formula1>
    </dataValidation>
    <dataValidation type="list" errorStyle="stop" allowBlank="true" showDropDown="false" showInputMessage="true" showErrorMessage="true" prompt="" sqref="M351:M355">
      <formula1>"TK, X, INS, Youtube, FB, VK, Linkedin,"</formula1>
    </dataValidation>
    <dataValidation type="list" errorStyle="stop" allowBlank="true" showDropDown="false" showInputMessage="true" showErrorMessage="true" prompt="" sqref="M358:M361">
      <formula1>"TK, X, INS, Youtube, FB, VK, Linkedin,"</formula1>
    </dataValidation>
    <dataValidation type="list" errorStyle="stop" allowBlank="true" showDropDown="false" showInputMessage="true" showErrorMessage="true" prompt="" sqref="M364:M366">
      <formula1>"TK, X, INS, Youtube, FB, VK, Linkedin,"</formula1>
    </dataValidation>
    <dataValidation type="list" errorStyle="stop" allowBlank="true" showDropDown="false" showInputMessage="true" showErrorMessage="true" prompt="" sqref="M368">
      <formula1>"TK, X, INS, Youtube, FB, VK, Linkedin,"</formula1>
    </dataValidation>
    <dataValidation type="list" errorStyle="stop" allowBlank="true" showDropDown="false" showInputMessage="true" showErrorMessage="true" prompt="" sqref="M370:M371">
      <formula1>"TK, X, INS, Youtube, FB, VK, Linkedin,"</formula1>
    </dataValidation>
    <dataValidation type="list" errorStyle="stop" allowBlank="true" showDropDown="false" showInputMessage="true" showErrorMessage="true" prompt="" sqref="M373:M374">
      <formula1>"TK, X, INS, Youtube, FB, VK, Linkedin,"</formula1>
    </dataValidation>
    <dataValidation type="list" errorStyle="stop" allowBlank="true" showDropDown="false" showInputMessage="true" showErrorMessage="true" prompt="" sqref="M376">
      <formula1>"TK, X, INS, Youtube, FB, VK, Linkedin,"</formula1>
    </dataValidation>
    <dataValidation type="list" errorStyle="stop" allowBlank="true" showDropDown="false" showInputMessage="true" showErrorMessage="true" prompt="" sqref="M378">
      <formula1>"TK, X, INS, Youtube, FB, VK, Linkedin,"</formula1>
    </dataValidation>
    <dataValidation type="list" errorStyle="stop" allowBlank="true" showDropDown="false" showInputMessage="true" showErrorMessage="true" prompt="" sqref="M381:M383">
      <formula1>"TK, X, INS, Youtube, FB, VK, Linkedin,"</formula1>
    </dataValidation>
    <dataValidation type="list" errorStyle="stop" allowBlank="true" showDropDown="false" showInputMessage="true" showErrorMessage="true" prompt="" sqref="M385:M389">
      <formula1>"TK, X, INS, Youtube, FB, VK, Linkedin,"</formula1>
    </dataValidation>
    <dataValidation type="list" errorStyle="stop" allowBlank="true" showDropDown="false" showInputMessage="true" showErrorMessage="true" prompt="" sqref="M391">
      <formula1>"TK, X, INS, Youtube, FB, VK, Linkedin,"</formula1>
    </dataValidation>
    <dataValidation type="list" errorStyle="stop" allowBlank="true" showDropDown="false" showInputMessage="true" showErrorMessage="true" prompt="" sqref="M396">
      <formula1>"TK, X, INS, Youtube, FB, VK, Linkedin,"</formula1>
    </dataValidation>
    <dataValidation type="list" errorStyle="stop" allowBlank="true" showDropDown="false" showInputMessage="true" showErrorMessage="true" prompt="" sqref="M399">
      <formula1>"TK, X, INS, Youtube, FB, VK, Linkedin,"</formula1>
    </dataValidation>
    <dataValidation type="list" errorStyle="stop" allowBlank="true" showDropDown="false" showInputMessage="true" showErrorMessage="true" prompt="" sqref="M404:M406">
      <formula1>"TK, X, INS, Youtube, FB, VK, Linkedin,"</formula1>
    </dataValidation>
    <dataValidation type="list" errorStyle="stop" allowBlank="true" showDropDown="false" showInputMessage="true" showErrorMessage="true" prompt="" sqref="M408:M410">
      <formula1>"TK, X, INS, Youtube, FB, VK, Linkedin,"</formula1>
    </dataValidation>
    <dataValidation type="list" errorStyle="stop" allowBlank="true" showDropDown="false" showInputMessage="true" showErrorMessage="true" prompt="" sqref="M412">
      <formula1>"TK, X, INS, Youtube, FB, VK, Linkedin,"</formula1>
    </dataValidation>
    <dataValidation type="list" errorStyle="stop" allowBlank="true" showDropDown="false" showInputMessage="true" showErrorMessage="true" prompt="" sqref="M414:M418">
      <formula1>"TK, X, INS, Youtube, FB, VK, Linkedin,"</formula1>
    </dataValidation>
    <dataValidation type="list" errorStyle="stop" allowBlank="true" showDropDown="false" showInputMessage="true" showErrorMessage="true" prompt="" sqref="M421:M427">
      <formula1>"TK, X, INS, Youtube, FB, VK, Linkedin,"</formula1>
    </dataValidation>
    <dataValidation type="list" errorStyle="stop" allowBlank="true" showDropDown="false" showInputMessage="true" showErrorMessage="true" prompt="" sqref="M430:M432">
      <formula1>"TK, X, INS, Youtube, FB, VK, Linkedin,"</formula1>
    </dataValidation>
    <dataValidation type="list" errorStyle="stop" allowBlank="true" showDropDown="false" showInputMessage="true" showErrorMessage="true" prompt="" sqref="M434:M435">
      <formula1>"TK, X, INS, Youtube, FB, VK, Linkedin,"</formula1>
    </dataValidation>
    <dataValidation type="list" errorStyle="stop" allowBlank="true" showDropDown="false" showInputMessage="true" showErrorMessage="true" prompt="" sqref="M442:M443">
      <formula1>"TK, X, INS, Youtube, FB, VK, Linkedin,"</formula1>
    </dataValidation>
    <dataValidation type="list" errorStyle="stop" allowBlank="true" showDropDown="false" showInputMessage="true" showErrorMessage="true" prompt="" sqref="M445:M446">
      <formula1>"TK, X, INS, Youtube, FB, VK, Linkedin,"</formula1>
    </dataValidation>
    <dataValidation type="list" errorStyle="stop" allowBlank="true" showDropDown="false" showInputMessage="true" showErrorMessage="true" prompt="" sqref="O442">
      <formula1>"签A推B,延迟交付,投诉,退款,变更公司名称,"</formula1>
    </dataValidation>
    <dataValidation type="list" errorStyle="stop" allowBlank="true" showDropDown="false" showInputMessage="true" showErrorMessage="true" prompt="" sqref="W1">
      <formula1>"埃米平台+埃米陪跑服务,埃米平台+埃米代运营服务+埃米广告通,埃米平台,埃米平台+广告通,"</formula1>
    </dataValidation>
    <dataValidation type="list" errorStyle="stop" allowBlank="true" showDropDown="false" showInputMessage="true" showErrorMessage="true" prompt="" sqref="X1">
      <formula1>"埃米平台+埃米陪跑服务,埃米平台+埃米代运营服务+埃米广告通,埃米平台,埃米平台+广告通,"</formula1>
    </dataValidation>
  </dataValidations>
  <hyperlinks>
    <hyperlink ref="P205" r:id="rId3"/>
  </hyperlinks>
  <drawing r:id="rId4"/>
  <legacyDrawing r:id="rId0"/>
</worksheet>
</file>

<file path=xl/worksheets/sheet2.xml><?xml version="1.0" encoding="utf-8"?>
<worksheet xmlns:r="http://schemas.openxmlformats.org/officeDocument/2006/relationships" xmlns="http://schemas.openxmlformats.org/spreadsheetml/2006/main">
  <sheetPr codeName="产品培训公开课报名">
    <tabColor/>
  </sheetPr>
  <dimension ref="E194"/>
  <sheetViews>
    <sheetView showGridLines="true" workbookViewId="0"/>
  </sheetViews>
  <sheetFormatPr baseColWidth="13" defaultRowHeight="18" customHeight="true"/>
  <cols>
    <col min="1" max="1" width="16.7344" style="17" hidden="true" customWidth="true"/>
    <col min="2" max="2" width="34.4023" style="17" customWidth="true"/>
    <col min="3" max="4" width="13.6719" style="17"/>
    <col min="5" max="5" width="29.9922" style="17" customWidth="true"/>
    <col min="6" max="6" width="20.1016" style="17" customWidth="true"/>
    <col min="7" max="7" width="13.6719" style="17"/>
    <col min="8" max="8" width="19.1523" style="17" customWidth="true"/>
    <col min="9" max="9" width="15.6016" style="17" customWidth="true"/>
    <col min="10" max="10" width="15.5117" style="17" customWidth="true"/>
    <col min="11" max="26" width="13.6719" style="17"/>
  </cols>
  <sheetData>
    <row r="1" spans="1:6">
      <c r="A1" s="15" t="s">
        <v>1</v>
      </c>
      <c r="B1" s="16" t="s">
        <v>208</v>
      </c>
      <c r="C1" s="16" t="s">
        <v>209</v>
      </c>
      <c r="D1" s="16" t="s">
        <v>210</v>
      </c>
      <c r="E1" s="16" t="s">
        <v>211</v>
      </c>
      <c r="F1" s="15" t="s">
        <v>212</v>
      </c>
    </row>
    <row r="2" spans="1:10">
      <c r="A2" s="17">
        <f>=_xlfn.XLOOKUP(B2,总表!B:B,总表!A:A)</f>
        <v>190</v>
      </c>
      <c r="B2" s="18" t="s">
        <v>213</v>
      </c>
      <c r="C2" s="19" t="s">
        <v>214</v>
      </c>
      <c r="D2" s="19" t="s">
        <v>215</v>
      </c>
      <c r="E2" s="19" t="s">
        <v>216</v>
      </c>
      <c r="F2" s="20" t="s">
        <v>217</v>
      </c>
      <c r="H2" s="21" t="s">
        <v>209</v>
      </c>
      <c r="I2" s="22" t="s">
        <v>218</v>
      </c>
      <c r="J2" s="23" t="s"/>
    </row>
    <row r="3" spans="1:10">
      <c r="A3" s="17">
        <f>=_xlfn.XLOOKUP(B3,总表!B:B,总表!A:A)</f>
        <v>172</v>
      </c>
      <c r="B3" s="18" t="s">
        <v>219</v>
      </c>
      <c r="C3" s="19" t="s">
        <v>214</v>
      </c>
      <c r="D3" s="19" t="s">
        <v>215</v>
      </c>
      <c r="E3" s="19" t="s">
        <v>220</v>
      </c>
      <c r="F3" s="20" t="s">
        <v>217</v>
      </c>
      <c r="H3" s="24" t="s"/>
      <c r="I3" s="25" t="s"/>
      <c r="J3" s="26" t="s"/>
    </row>
    <row r="4" spans="1:10">
      <c r="A4" s="17">
        <f>=_xlfn.XLOOKUP(B4,总表!B:B,总表!A:A)</f>
        <v>205</v>
      </c>
      <c r="B4" s="18" t="s">
        <v>221</v>
      </c>
      <c r="C4" s="19" t="s">
        <v>214</v>
      </c>
      <c r="D4" s="19" t="s">
        <v>215</v>
      </c>
      <c r="E4" s="19" t="s">
        <v>222</v>
      </c>
      <c r="F4" s="20" t="s">
        <v>217</v>
      </c>
      <c r="H4" s="24" t="s">
        <v>210</v>
      </c>
      <c r="I4" s="25" t="s">
        <v>223</v>
      </c>
      <c r="J4" s="26" t="s"/>
    </row>
    <row r="5" spans="1:10">
      <c r="A5" s="17">
        <f>=_xlfn.XLOOKUP(B5,总表!B:B,总表!A:A)</f>
        <v>131</v>
      </c>
      <c r="B5" s="19" t="s">
        <v>73</v>
      </c>
      <c r="C5" s="19" t="s">
        <v>214</v>
      </c>
      <c r="D5" s="19" t="s">
        <v>224</v>
      </c>
      <c r="E5" s="19" t="s">
        <v>225</v>
      </c>
      <c r="F5" s="20" t="s">
        <v>217</v>
      </c>
      <c r="H5" s="24" t="s">
        <v>215</v>
      </c>
      <c r="I5" s="25">
        <v>13</v>
      </c>
      <c r="J5" s="26" t="s"/>
    </row>
    <row r="6" spans="1:10">
      <c r="A6" s="17">
        <f>=_xlfn.XLOOKUP(B6,总表!B:B,总表!A:A)</f>
        <v>175</v>
      </c>
      <c r="B6" s="19" t="s">
        <v>226</v>
      </c>
      <c r="C6" s="19" t="s">
        <v>214</v>
      </c>
      <c r="D6" s="19" t="s">
        <v>224</v>
      </c>
      <c r="E6" s="19" t="s">
        <v>227</v>
      </c>
      <c r="F6" s="20" t="s">
        <v>217</v>
      </c>
      <c r="H6" s="27" t="s">
        <v>228</v>
      </c>
      <c r="I6" s="25">
        <v>21</v>
      </c>
      <c r="J6" s="26" t="s"/>
    </row>
    <row r="7" spans="1:10">
      <c r="A7" s="17">
        <f>=_xlfn.XLOOKUP(B7,总表!B:B,总表!A:A)</f>
        <v>200</v>
      </c>
      <c r="B7" s="19" t="s">
        <v>229</v>
      </c>
      <c r="C7" s="19" t="s">
        <v>214</v>
      </c>
      <c r="D7" s="19" t="s">
        <v>224</v>
      </c>
      <c r="E7" s="19" t="s">
        <v>230</v>
      </c>
      <c r="F7" s="20" t="s">
        <v>231</v>
      </c>
      <c r="G7" s="17" t="s"/>
      <c r="H7" t="s">
        <v>224</v>
      </c>
      <c r="I7">
        <v>14</v>
      </c>
      <c r="J7" s="28" t="s"/>
    </row>
    <row r="8" spans="1:10">
      <c r="A8" s="17">
        <f>=_xlfn.XLOOKUP(B8,总表!B:B,总表!A:A)</f>
        <v>169</v>
      </c>
      <c r="B8" s="19" t="s">
        <v>232</v>
      </c>
      <c r="C8" s="19" t="s">
        <v>214</v>
      </c>
      <c r="D8" s="19" t="s">
        <v>224</v>
      </c>
      <c r="E8" s="19" t="s">
        <v>233</v>
      </c>
      <c r="F8" s="20" t="s">
        <v>217</v>
      </c>
      <c r="H8" t="s">
        <v>234</v>
      </c>
      <c r="I8">
        <v>5</v>
      </c>
      <c r="J8" s="29" t="s"/>
    </row>
    <row r="9" spans="1:10">
      <c r="A9" s="17">
        <f>=_xlfn.XLOOKUP(B9,总表!B:B,总表!A:A)</f>
        <v>31</v>
      </c>
      <c r="B9" s="18" t="s">
        <v>30</v>
      </c>
      <c r="C9" s="19" t="s">
        <v>214</v>
      </c>
      <c r="D9" s="19" t="s">
        <v>224</v>
      </c>
      <c r="E9" s="19" t="s">
        <v>235</v>
      </c>
      <c r="F9" s="20" t="s">
        <v>217</v>
      </c>
      <c r="H9" t="s">
        <v>236</v>
      </c>
      <c r="I9">
        <v>2</v>
      </c>
      <c r="J9" s="29" t="s"/>
    </row>
    <row r="10" spans="1:10">
      <c r="A10" s="17">
        <f>=_xlfn.XLOOKUP(B10,总表!B:B,总表!A:A)</f>
        <v>207</v>
      </c>
      <c r="B10" s="19" t="s">
        <v>237</v>
      </c>
      <c r="C10" s="19" t="s">
        <v>214</v>
      </c>
      <c r="D10" s="19" t="s">
        <v>224</v>
      </c>
      <c r="E10" s="19" t="s">
        <v>238</v>
      </c>
      <c r="F10" s="20" t="s">
        <v>217</v>
      </c>
      <c r="H10" t="s">
        <v>239</v>
      </c>
      <c r="I10">
        <v>14</v>
      </c>
      <c r="J10" s="29" t="s"/>
    </row>
    <row r="11" spans="1:10">
      <c r="A11" s="17">
        <f>=_xlfn.XLOOKUP(B11,总表!B:B,总表!A:A)</f>
        <v>206</v>
      </c>
      <c r="B11" s="18" t="s">
        <v>240</v>
      </c>
      <c r="C11" s="19" t="s">
        <v>214</v>
      </c>
      <c r="D11" s="19" t="s">
        <v>224</v>
      </c>
      <c r="E11" s="19" t="s">
        <v>241</v>
      </c>
      <c r="F11" s="20" t="s">
        <v>217</v>
      </c>
      <c r="H11" t="s">
        <v>242</v>
      </c>
      <c r="I11">
        <v>4</v>
      </c>
      <c r="J11" s="29" t="s"/>
    </row>
    <row r="12" spans="1:9">
      <c r="A12" s="17">
        <f>=_xlfn.XLOOKUP(B12,总表!B:B,总表!A:A)</f>
        <v>146</v>
      </c>
      <c r="B12" s="19" t="s">
        <v>243</v>
      </c>
      <c r="C12" s="19" t="s">
        <v>214</v>
      </c>
      <c r="D12" s="19" t="s">
        <v>224</v>
      </c>
      <c r="E12" s="19" t="s">
        <v>244</v>
      </c>
      <c r="F12" s="20" t="s">
        <v>217</v>
      </c>
      <c r="H12" t="s">
        <v>245</v>
      </c>
      <c r="I12">
        <v>3</v>
      </c>
    </row>
    <row r="13" spans="1:8">
      <c r="A13" s="17">
        <f>=_xlfn.XLOOKUP(B13,总表!B:B,总表!A:A)</f>
        <v>179</v>
      </c>
      <c r="B13" s="19" t="s">
        <v>246</v>
      </c>
      <c r="C13" s="19" t="s">
        <v>214</v>
      </c>
      <c r="D13" s="19" t="s">
        <v>224</v>
      </c>
      <c r="E13" s="19" t="s">
        <v>247</v>
      </c>
      <c r="F13" s="20" t="s">
        <v>217</v>
      </c>
      <c r="H13" t="s"/>
    </row>
    <row r="14" spans="1:9">
      <c r="A14" s="17">
        <f>=_xlfn.XLOOKUP(B14,总表!B:B,总表!A:A)</f>
        <v>209</v>
      </c>
      <c r="B14" s="19" t="s">
        <v>248</v>
      </c>
      <c r="C14" s="19" t="s">
        <v>214</v>
      </c>
      <c r="D14" s="19" t="s">
        <v>224</v>
      </c>
      <c r="E14" s="19" t="s">
        <v>249</v>
      </c>
      <c r="F14" s="20" t="s">
        <v>217</v>
      </c>
      <c r="H14" t="s">
        <v>250</v>
      </c>
      <c r="I14">
        <v>76</v>
      </c>
    </row>
    <row r="15" spans="1:6">
      <c r="A15" s="17">
        <f>=_xlfn.XLOOKUP(B15,总表!B:B,总表!A:A)</f>
        <v>73</v>
      </c>
      <c r="B15" s="18" t="s">
        <v>251</v>
      </c>
      <c r="C15" s="19" t="s">
        <v>214</v>
      </c>
      <c r="D15" s="19" t="s">
        <v>215</v>
      </c>
      <c r="E15" s="30" t="s">
        <v>252</v>
      </c>
      <c r="F15" s="20" t="s">
        <v>217</v>
      </c>
    </row>
    <row r="16" spans="1:6">
      <c r="A16" s="17">
        <f>=_xlfn.XLOOKUP(B16,总表!B:B,总表!A:A)</f>
        <v>115</v>
      </c>
      <c r="B16" s="19" t="s">
        <v>253</v>
      </c>
      <c r="C16" s="19" t="s">
        <v>214</v>
      </c>
      <c r="D16" s="19" t="s">
        <v>236</v>
      </c>
      <c r="E16" s="19" t="s">
        <v>254</v>
      </c>
      <c r="F16" s="20" t="s">
        <v>217</v>
      </c>
    </row>
    <row r="17" spans="1:10">
      <c r="A17" s="17">
        <f>=_xlfn.XLOOKUP(B17,总表!B:B,总表!A:A)</f>
        <v>30</v>
      </c>
      <c r="B17" s="19" t="s">
        <v>255</v>
      </c>
      <c r="C17" s="19" t="s">
        <v>214</v>
      </c>
      <c r="D17" s="19" t="s">
        <v>236</v>
      </c>
      <c r="E17" s="19" t="s">
        <v>256</v>
      </c>
      <c r="F17" s="20" t="s">
        <v>217</v>
      </c>
      <c r="H17" s="31" t="s">
        <v>209</v>
      </c>
      <c r="I17" s="32" t="s">
        <v>218</v>
      </c>
      <c r="J17" s="17" t="s"/>
    </row>
    <row r="18" spans="1:10">
      <c r="A18" s="17">
        <f>=_xlfn.XLOOKUP(B18,总表!B:B,总表!A:A)</f>
        <v>201</v>
      </c>
      <c r="B18" s="33" t="s">
        <v>257</v>
      </c>
      <c r="C18" s="19" t="s">
        <v>214</v>
      </c>
      <c r="D18" s="19" t="s">
        <v>224</v>
      </c>
      <c r="E18" s="19" t="s">
        <v>258</v>
      </c>
      <c r="F18" s="20" t="s">
        <v>217</v>
      </c>
      <c r="H18" s="24" t="s"/>
      <c r="I18" s="26" t="s"/>
      <c r="J18" s="17" t="s"/>
    </row>
    <row r="19" spans="1:10">
      <c r="A19" s="17">
        <f>=_xlfn.XLOOKUP(B19,总表!B:B,总表!A:A)</f>
        <v>178</v>
      </c>
      <c r="B19" s="19" t="s">
        <v>92</v>
      </c>
      <c r="C19" s="19" t="s">
        <v>214</v>
      </c>
      <c r="D19" s="19" t="s">
        <v>224</v>
      </c>
      <c r="E19" s="19" t="s">
        <v>259</v>
      </c>
      <c r="F19" s="20" t="s">
        <v>217</v>
      </c>
      <c r="H19" s="24" t="s">
        <v>212</v>
      </c>
      <c r="I19" s="26" t="s">
        <v>260</v>
      </c>
      <c r="J19" s="17" t="s"/>
    </row>
    <row r="20" spans="1:10">
      <c r="A20" s="17">
        <f>=_xlfn.XLOOKUP(B20,总表!B:B,总表!A:A)</f>
        <v>176</v>
      </c>
      <c r="B20" s="19" t="s">
        <v>261</v>
      </c>
      <c r="C20" s="19" t="s">
        <v>214</v>
      </c>
      <c r="D20" s="19" t="s">
        <v>224</v>
      </c>
      <c r="E20" s="19" t="s">
        <v>262</v>
      </c>
      <c r="F20" s="20" t="s">
        <v>217</v>
      </c>
      <c r="H20" s="24" t="s"/>
      <c r="I20" s="26" t="s"/>
      <c r="J20" s="17" t="s"/>
    </row>
    <row r="21" spans="1:10">
      <c r="A21" s="17">
        <f>=_xlfn.XLOOKUP(B21,总表!B:B,总表!A:A)</f>
        <v>126</v>
      </c>
      <c r="B21" s="19" t="s">
        <v>70</v>
      </c>
      <c r="C21" s="19" t="s">
        <v>214</v>
      </c>
      <c r="D21" s="19" t="s">
        <v>236</v>
      </c>
      <c r="E21" s="19" t="s">
        <v>263</v>
      </c>
      <c r="F21" s="20" t="s">
        <v>217</v>
      </c>
      <c r="H21" s="24" t="s">
        <v>217</v>
      </c>
      <c r="I21" s="26">
        <v>166</v>
      </c>
      <c r="J21" s="17" t="s"/>
    </row>
    <row r="22" spans="1:10">
      <c r="A22" s="17">
        <f>=_xlfn.XLOOKUP(B22,总表!B:B,总表!A:A)</f>
        <v>168</v>
      </c>
      <c r="B22" s="19" t="s">
        <v>88</v>
      </c>
      <c r="C22" s="19" t="s">
        <v>214</v>
      </c>
      <c r="D22" s="19" t="s">
        <v>224</v>
      </c>
      <c r="E22" s="19" t="s">
        <v>264</v>
      </c>
      <c r="F22" s="20" t="s">
        <v>217</v>
      </c>
      <c r="H22" s="24" t="s">
        <v>231</v>
      </c>
      <c r="I22" s="26">
        <v>1</v>
      </c>
      <c r="J22" s="17" t="s"/>
    </row>
    <row r="23" spans="1:10">
      <c r="A23" s="17">
        <f>=_xlfn.XLOOKUP(B23,总表!B:B,总表!A:A)</f>
        <v>213</v>
      </c>
      <c r="B23" s="19" t="s">
        <v>265</v>
      </c>
      <c r="C23" s="19" t="s">
        <v>214</v>
      </c>
      <c r="D23" s="19" t="s">
        <v>224</v>
      </c>
      <c r="E23" s="19" t="s">
        <v>266</v>
      </c>
      <c r="F23" s="20" t="s">
        <v>217</v>
      </c>
      <c r="H23" s="34" t="s">
        <v>250</v>
      </c>
      <c r="I23" s="28">
        <v>167</v>
      </c>
      <c r="J23" s="17" t="s"/>
    </row>
    <row r="24" spans="1:6">
      <c r="A24" s="17">
        <f>=_xlfn.XLOOKUP(B24,总表!B:B,总表!A:A)</f>
        <v>58</v>
      </c>
      <c r="B24" s="19" t="s">
        <v>77</v>
      </c>
      <c r="C24" s="19" t="s">
        <v>214</v>
      </c>
      <c r="D24" s="19" t="s">
        <v>224</v>
      </c>
      <c r="E24" s="19" t="s">
        <v>267</v>
      </c>
      <c r="F24" s="20" t="s">
        <v>217</v>
      </c>
    </row>
    <row r="25" spans="1:9">
      <c r="A25" s="17">
        <f>=_xlfn.XLOOKUP(B25,总表!B:B,总表!A:A)</f>
        <v>184</v>
      </c>
      <c r="B25" s="19" t="s">
        <v>268</v>
      </c>
      <c r="C25" s="19" t="s">
        <v>214</v>
      </c>
      <c r="D25" s="19" t="s">
        <v>236</v>
      </c>
      <c r="E25" s="19" t="s">
        <v>269</v>
      </c>
      <c r="F25" s="20" t="s">
        <v>217</v>
      </c>
      <c r="H25" t="s">
        <v>209</v>
      </c>
      <c r="I25" t="s">
        <v>270</v>
      </c>
    </row>
    <row r="26" spans="1:6">
      <c r="A26" s="17">
        <f>=_xlfn.XLOOKUP(B26,总表!B:B,总表!A:A)</f>
        <v>129</v>
      </c>
      <c r="B26" s="19" t="s">
        <v>72</v>
      </c>
      <c r="C26" s="19" t="s">
        <v>214</v>
      </c>
      <c r="D26" s="19" t="s">
        <v>224</v>
      </c>
      <c r="E26" s="19" t="s">
        <v>271</v>
      </c>
      <c r="F26" s="20" t="s">
        <v>217</v>
      </c>
    </row>
    <row r="27" spans="1:9">
      <c r="A27" s="17">
        <f>=_xlfn.XLOOKUP(B27,总表!B:B,总表!A:A)</f>
        <v>9</v>
      </c>
      <c r="B27" s="19" t="s">
        <v>25</v>
      </c>
      <c r="C27" s="19" t="s">
        <v>214</v>
      </c>
      <c r="D27" s="19" t="s">
        <v>234</v>
      </c>
      <c r="E27" s="19" t="s">
        <v>272</v>
      </c>
      <c r="F27" s="20" t="s">
        <v>217</v>
      </c>
      <c r="H27" t="s">
        <v>210</v>
      </c>
      <c r="I27" t="s">
        <v>223</v>
      </c>
    </row>
    <row r="28" spans="1:9">
      <c r="A28" s="17">
        <f>=_xlfn.XLOOKUP(B28,总表!B:B,总表!A:A)</f>
        <v>135</v>
      </c>
      <c r="B28" s="18" t="s">
        <v>76</v>
      </c>
      <c r="C28" s="19" t="s">
        <v>214</v>
      </c>
      <c r="D28" s="19" t="s">
        <v>234</v>
      </c>
      <c r="E28" s="30" t="s">
        <v>273</v>
      </c>
      <c r="F28" s="20" t="s">
        <v>217</v>
      </c>
      <c r="H28" t="s">
        <v>228</v>
      </c>
      <c r="I28">
        <v>4</v>
      </c>
    </row>
    <row r="29" spans="1:9">
      <c r="A29" s="17">
        <f>=_xlfn.XLOOKUP(B29,总表!B:B,总表!A:A)</f>
        <v>218</v>
      </c>
      <c r="B29" s="19" t="s">
        <v>106</v>
      </c>
      <c r="C29" s="19" t="s">
        <v>214</v>
      </c>
      <c r="D29" s="19" t="s">
        <v>234</v>
      </c>
      <c r="E29" s="19" t="s">
        <v>274</v>
      </c>
      <c r="F29" s="20" t="s">
        <v>217</v>
      </c>
      <c r="H29" t="s">
        <v>224</v>
      </c>
      <c r="I29">
        <v>2</v>
      </c>
    </row>
    <row r="30" spans="1:9">
      <c r="A30" s="17">
        <f>=_xlfn.XLOOKUP(B30,总表!B:B,总表!A:A)</f>
        <v>11</v>
      </c>
      <c r="B30" s="19" t="s">
        <v>14</v>
      </c>
      <c r="C30" s="19" t="s">
        <v>214</v>
      </c>
      <c r="D30" s="19" t="s">
        <v>234</v>
      </c>
      <c r="E30" s="19" t="s">
        <v>275</v>
      </c>
      <c r="F30" s="20" t="s">
        <v>217</v>
      </c>
      <c r="H30" t="s">
        <v>234</v>
      </c>
      <c r="I30">
        <v>1</v>
      </c>
    </row>
    <row r="31" spans="1:9">
      <c r="A31" s="17">
        <f>=_xlfn.XLOOKUP(B31,总表!B:B,总表!A:A)</f>
        <v>171</v>
      </c>
      <c r="B31" s="19" t="s">
        <v>90</v>
      </c>
      <c r="C31" s="19" t="s">
        <v>214</v>
      </c>
      <c r="D31" s="19" t="s">
        <v>234</v>
      </c>
      <c r="E31" s="19" t="s">
        <v>276</v>
      </c>
      <c r="F31" s="20" t="s">
        <v>217</v>
      </c>
      <c r="H31" t="s">
        <v>277</v>
      </c>
      <c r="I31">
        <v>4</v>
      </c>
    </row>
    <row r="32" spans="1:9">
      <c r="A32" s="17">
        <f>=_xlfn.XLOOKUP(B32,总表!B:B,总表!A:A)</f>
        <v>123</v>
      </c>
      <c r="B32" s="19" t="s">
        <v>68</v>
      </c>
      <c r="C32" s="19" t="s">
        <v>214</v>
      </c>
      <c r="D32" s="19" t="s">
        <v>234</v>
      </c>
      <c r="E32" s="19" t="s">
        <v>278</v>
      </c>
      <c r="F32" s="20" t="s">
        <v>217</v>
      </c>
      <c r="H32" t="s">
        <v>239</v>
      </c>
      <c r="I32">
        <v>6</v>
      </c>
    </row>
    <row r="33" spans="1:9">
      <c r="A33" s="17">
        <f>=_xlfn.XLOOKUP(B33,总表!B:B,总表!A:A)</f>
        <v>81</v>
      </c>
      <c r="B33" s="19" t="s">
        <v>51</v>
      </c>
      <c r="C33" s="19" t="s">
        <v>214</v>
      </c>
      <c r="D33" s="19" t="s">
        <v>234</v>
      </c>
      <c r="E33" s="30" t="s">
        <v>279</v>
      </c>
      <c r="F33" s="20" t="s">
        <v>217</v>
      </c>
      <c r="H33" t="s">
        <v>242</v>
      </c>
      <c r="I33">
        <v>4</v>
      </c>
    </row>
    <row r="34" spans="1:9">
      <c r="A34" s="17">
        <f>=_xlfn.XLOOKUP(B34,总表!B:B,总表!A:A)</f>
        <v>159</v>
      </c>
      <c r="B34" s="19" t="s">
        <v>280</v>
      </c>
      <c r="C34" s="19" t="s">
        <v>214</v>
      </c>
      <c r="D34" s="19" t="s">
        <v>224</v>
      </c>
      <c r="E34" s="19" t="s">
        <v>281</v>
      </c>
      <c r="F34" s="20" t="s">
        <v>217</v>
      </c>
      <c r="H34" t="s">
        <v>245</v>
      </c>
      <c r="I34">
        <v>3</v>
      </c>
    </row>
    <row r="35" spans="1:9">
      <c r="A35" s="17">
        <f>=_xlfn.XLOOKUP(B35,总表!B:B,总表!A:A)</f>
        <v>166</v>
      </c>
      <c r="B35" s="18" t="s">
        <v>86</v>
      </c>
      <c r="C35" s="19" t="s">
        <v>214</v>
      </c>
      <c r="D35" s="19" t="s">
        <v>215</v>
      </c>
      <c r="E35" s="30" t="s">
        <v>282</v>
      </c>
      <c r="F35" s="20" t="s">
        <v>217</v>
      </c>
      <c r="H35" t="s">
        <v>250</v>
      </c>
      <c r="I35">
        <v>24</v>
      </c>
    </row>
    <row r="36" spans="1:6">
      <c r="A36" s="17">
        <f>=_xlfn.XLOOKUP(B36,总表!B:B,总表!A:A)</f>
        <v>108</v>
      </c>
      <c r="B36" s="19" t="s">
        <v>61</v>
      </c>
      <c r="C36" s="19" t="s">
        <v>214</v>
      </c>
      <c r="D36" s="19" t="s">
        <v>236</v>
      </c>
      <c r="E36" s="19" t="s">
        <v>283</v>
      </c>
      <c r="F36" s="20" t="s">
        <v>217</v>
      </c>
    </row>
    <row r="37" spans="1:6">
      <c r="A37" s="17">
        <f>=_xlfn.XLOOKUP(B37,总表!B:B,总表!A:A)</f>
        <v>203</v>
      </c>
      <c r="B37" s="18" t="s">
        <v>100</v>
      </c>
      <c r="C37" s="19" t="s">
        <v>214</v>
      </c>
      <c r="D37" s="19" t="s">
        <v>224</v>
      </c>
      <c r="E37" s="19" t="s">
        <v>284</v>
      </c>
      <c r="F37" s="20" t="s">
        <v>217</v>
      </c>
    </row>
    <row r="38" spans="1:6">
      <c r="A38" s="17">
        <f>=_xlfn.XLOOKUP(B38,总表!B:B,总表!A:A)</f>
        <v>163</v>
      </c>
      <c r="B38" s="19" t="s">
        <v>84</v>
      </c>
      <c r="C38" s="19" t="s">
        <v>214</v>
      </c>
      <c r="D38" s="19" t="s">
        <v>224</v>
      </c>
      <c r="E38" s="19" t="s">
        <v>285</v>
      </c>
      <c r="F38" s="20" t="s">
        <v>217</v>
      </c>
    </row>
    <row r="39" spans="1:6">
      <c r="A39" s="17">
        <f>=_xlfn.XLOOKUP(B39,总表!B:B,总表!A:A)</f>
        <v>230</v>
      </c>
      <c r="B39" s="35" t="s">
        <v>286</v>
      </c>
      <c r="C39" s="19" t="s">
        <v>214</v>
      </c>
      <c r="D39" s="19" t="s">
        <v>228</v>
      </c>
      <c r="E39" s="30" t="s">
        <v>287</v>
      </c>
      <c r="F39" s="20" t="s">
        <v>217</v>
      </c>
    </row>
    <row r="40" spans="1:6">
      <c r="A40" s="17">
        <f>=_xlfn.XLOOKUP(B40,总表!B:B,总表!A:A)</f>
        <v>19</v>
      </c>
      <c r="B40" s="18" t="s">
        <v>20</v>
      </c>
      <c r="C40" s="19" t="s">
        <v>214</v>
      </c>
      <c r="D40" s="19" t="s">
        <v>215</v>
      </c>
      <c r="E40" s="30" t="s">
        <v>288</v>
      </c>
      <c r="F40" s="20" t="s">
        <v>217</v>
      </c>
    </row>
    <row r="41" spans="1:6">
      <c r="A41" s="17">
        <f>=_xlfn.XLOOKUP(B41,总表!B:B,总表!A:A)</f>
        <v>93</v>
      </c>
      <c r="B41" s="18" t="s">
        <v>289</v>
      </c>
      <c r="C41" s="19" t="s">
        <v>214</v>
      </c>
      <c r="D41" s="19" t="s">
        <v>215</v>
      </c>
      <c r="E41" s="30" t="s">
        <v>290</v>
      </c>
      <c r="F41" s="20" t="s">
        <v>217</v>
      </c>
    </row>
    <row r="42" spans="1:6">
      <c r="A42" s="17">
        <f>=_xlfn.XLOOKUP(B42,总表!B:B,总表!A:A)</f>
        <v>231</v>
      </c>
      <c r="B42" s="19" t="s">
        <v>291</v>
      </c>
      <c r="C42" s="19" t="s">
        <v>214</v>
      </c>
      <c r="D42" s="19" t="s">
        <v>224</v>
      </c>
      <c r="E42" s="19" t="s">
        <v>292</v>
      </c>
      <c r="F42" s="36" t="s">
        <v>217</v>
      </c>
    </row>
    <row r="43" spans="1:6">
      <c r="A43" s="17">
        <f>=_xlfn.XLOOKUP(B43,总表!B:B,总表!A:A)</f>
        <v>233</v>
      </c>
      <c r="B43" s="18" t="s">
        <v>293</v>
      </c>
      <c r="C43" s="19" t="s">
        <v>294</v>
      </c>
      <c r="D43" s="19" t="s">
        <v>228</v>
      </c>
      <c r="E43" s="30" t="s">
        <v>295</v>
      </c>
      <c r="F43" s="36" t="s">
        <v>217</v>
      </c>
    </row>
    <row r="44" spans="1:6">
      <c r="A44" s="17">
        <f>=_xlfn.XLOOKUP(B44,总表!B:B,总表!A:A)</f>
        <v>241</v>
      </c>
      <c r="B44" s="18" t="s">
        <v>296</v>
      </c>
      <c r="C44" s="19" t="s">
        <v>294</v>
      </c>
      <c r="D44" s="19" t="s">
        <v>228</v>
      </c>
      <c r="E44" s="30" t="s">
        <v>297</v>
      </c>
      <c r="F44" s="36" t="s">
        <v>217</v>
      </c>
    </row>
    <row r="45" spans="1:6">
      <c r="A45" s="17">
        <f>=_xlfn.XLOOKUP(B45,总表!B:B,总表!A:A)</f>
        <v>187</v>
      </c>
      <c r="B45" s="19" t="s">
        <v>298</v>
      </c>
      <c r="C45" s="19" t="s">
        <v>294</v>
      </c>
      <c r="D45" s="19" t="s">
        <v>234</v>
      </c>
      <c r="E45" s="19" t="s">
        <v>299</v>
      </c>
      <c r="F45" s="36" t="s">
        <v>217</v>
      </c>
    </row>
    <row r="46" spans="1:6">
      <c r="A46" s="17">
        <f>=_xlfn.XLOOKUP(B46,总表!B:B,总表!A:A)</f>
        <v>170</v>
      </c>
      <c r="B46" s="19" t="s">
        <v>300</v>
      </c>
      <c r="C46" s="19" t="s">
        <v>294</v>
      </c>
      <c r="D46" s="19" t="s">
        <v>234</v>
      </c>
      <c r="E46" s="19" t="s">
        <v>301</v>
      </c>
      <c r="F46" s="36" t="s">
        <v>217</v>
      </c>
    </row>
    <row r="47" spans="1:6">
      <c r="A47" s="17">
        <f>=_xlfn.XLOOKUP(B47,总表!B:B,总表!A:A)</f>
        <v>246</v>
      </c>
      <c r="B47" s="18" t="s">
        <v>302</v>
      </c>
      <c r="C47" s="19" t="s">
        <v>294</v>
      </c>
      <c r="D47" s="19" t="s">
        <v>228</v>
      </c>
      <c r="E47" s="30" t="s">
        <v>303</v>
      </c>
      <c r="F47" s="36" t="s">
        <v>217</v>
      </c>
    </row>
    <row r="48" spans="1:6">
      <c r="A48" s="17">
        <f>=_xlfn.XLOOKUP(B48,总表!B:B,总表!A:A)</f>
        <v>238</v>
      </c>
      <c r="B48" s="19" t="s">
        <v>304</v>
      </c>
      <c r="C48" s="19" t="s">
        <v>294</v>
      </c>
      <c r="D48" s="19" t="s">
        <v>236</v>
      </c>
      <c r="E48" s="19" t="s">
        <v>305</v>
      </c>
      <c r="F48" s="36" t="s">
        <v>217</v>
      </c>
    </row>
    <row r="49" spans="1:6">
      <c r="A49" s="17">
        <f>=_xlfn.XLOOKUP(B49,总表!B:B,总表!A:A)</f>
        <v>216</v>
      </c>
      <c r="B49" s="19" t="s">
        <v>108</v>
      </c>
      <c r="C49" s="19" t="s">
        <v>294</v>
      </c>
      <c r="D49" s="19" t="s">
        <v>236</v>
      </c>
      <c r="E49" s="19" t="s">
        <v>306</v>
      </c>
      <c r="F49" s="36" t="s">
        <v>217</v>
      </c>
    </row>
    <row r="50" spans="1:6">
      <c r="A50" s="17">
        <f>=_xlfn.XLOOKUP(B50,总表!B:B,总表!A:A)</f>
        <v>5</v>
      </c>
      <c r="B50" s="18" t="s">
        <v>307</v>
      </c>
      <c r="C50" s="19" t="s">
        <v>294</v>
      </c>
      <c r="D50" s="19" t="s">
        <v>215</v>
      </c>
      <c r="E50" s="30" t="s">
        <v>308</v>
      </c>
      <c r="F50" s="36" t="s">
        <v>217</v>
      </c>
    </row>
    <row r="51" spans="1:6">
      <c r="A51" s="17">
        <f>=_xlfn.XLOOKUP(B51,总表!B:B,总表!A:A)</f>
        <v>93</v>
      </c>
      <c r="B51" s="18" t="s">
        <v>289</v>
      </c>
      <c r="C51" s="19" t="s">
        <v>294</v>
      </c>
      <c r="D51" s="19" t="s">
        <v>215</v>
      </c>
      <c r="E51" s="35" t="s">
        <v>290</v>
      </c>
      <c r="F51" s="36" t="s">
        <v>217</v>
      </c>
    </row>
    <row r="52" spans="1:6">
      <c r="A52" s="17">
        <f>=_xlfn.XLOOKUP(B52,总表!B:B,总表!A:A)</f>
        <v>116</v>
      </c>
      <c r="B52" s="18" t="s">
        <v>309</v>
      </c>
      <c r="C52" s="19" t="s">
        <v>294</v>
      </c>
      <c r="D52" s="19" t="s">
        <v>215</v>
      </c>
      <c r="E52" s="30" t="s">
        <v>310</v>
      </c>
      <c r="F52" s="36" t="s">
        <v>217</v>
      </c>
    </row>
    <row r="53" spans="1:6">
      <c r="A53" s="17">
        <f>=_xlfn.XLOOKUP(B53,总表!B:B,总表!A:A)</f>
        <v>118</v>
      </c>
      <c r="B53" s="18" t="s">
        <v>311</v>
      </c>
      <c r="C53" s="19" t="s">
        <v>294</v>
      </c>
      <c r="D53" s="19" t="s">
        <v>215</v>
      </c>
      <c r="E53" s="30" t="s">
        <v>312</v>
      </c>
      <c r="F53" s="36" t="s">
        <v>217</v>
      </c>
    </row>
    <row r="54" spans="1:6">
      <c r="A54" s="17">
        <f>=_xlfn.XLOOKUP(B54,总表!B:B,总表!A:A)</f>
        <v>208</v>
      </c>
      <c r="B54" s="18" t="s">
        <v>102</v>
      </c>
      <c r="C54" s="19" t="s">
        <v>294</v>
      </c>
      <c r="D54" s="19" t="s">
        <v>215</v>
      </c>
      <c r="E54" s="30" t="s">
        <v>102</v>
      </c>
      <c r="F54" s="36" t="s">
        <v>217</v>
      </c>
    </row>
    <row r="55" spans="1:6">
      <c r="A55" s="17">
        <f>=_xlfn.XLOOKUP(B55,总表!B:B,总表!A:A)</f>
        <v>110</v>
      </c>
      <c r="B55" s="18" t="s">
        <v>313</v>
      </c>
      <c r="C55" s="19" t="s">
        <v>294</v>
      </c>
      <c r="D55" s="19" t="s">
        <v>215</v>
      </c>
      <c r="E55" s="30" t="s">
        <v>314</v>
      </c>
      <c r="F55" s="36" t="s">
        <v>217</v>
      </c>
    </row>
    <row r="56" spans="1:6">
      <c r="A56" s="17">
        <f>=_xlfn.XLOOKUP(B56,总表!B:B,总表!A:A)</f>
        <v>155</v>
      </c>
      <c r="B56" s="18" t="s">
        <v>81</v>
      </c>
      <c r="C56" s="19" t="s">
        <v>294</v>
      </c>
      <c r="D56" s="19" t="s">
        <v>215</v>
      </c>
      <c r="E56" s="30" t="s">
        <v>315</v>
      </c>
      <c r="F56" s="36" t="s">
        <v>217</v>
      </c>
    </row>
    <row r="57" spans="1:6">
      <c r="A57" s="17">
        <f>=_xlfn.XLOOKUP(B57,总表!B:B,总表!A:A)</f>
        <v>161</v>
      </c>
      <c r="B57" s="18" t="s">
        <v>83</v>
      </c>
      <c r="C57" s="19" t="s">
        <v>294</v>
      </c>
      <c r="D57" s="19" t="s">
        <v>215</v>
      </c>
      <c r="E57" s="30" t="s">
        <v>316</v>
      </c>
      <c r="F57" s="36" t="s">
        <v>217</v>
      </c>
    </row>
    <row r="58" spans="1:6">
      <c r="A58" s="17">
        <f>=_xlfn.XLOOKUP(B58,总表!B:B,总表!A:A)</f>
        <v>74</v>
      </c>
      <c r="B58" s="18" t="s">
        <v>317</v>
      </c>
      <c r="C58" s="19" t="s">
        <v>294</v>
      </c>
      <c r="D58" s="19" t="s">
        <v>215</v>
      </c>
      <c r="E58" s="30" t="s">
        <v>318</v>
      </c>
      <c r="F58" s="36" t="s">
        <v>217</v>
      </c>
    </row>
    <row r="59" spans="1:6">
      <c r="A59" s="17">
        <f>=_xlfn.XLOOKUP(B59,总表!B:B,总表!A:A)</f>
        <v>232</v>
      </c>
      <c r="B59" s="18" t="s">
        <v>319</v>
      </c>
      <c r="C59" s="19" t="s">
        <v>294</v>
      </c>
      <c r="D59" s="19" t="s">
        <v>215</v>
      </c>
      <c r="E59" s="30" t="s">
        <v>320</v>
      </c>
      <c r="F59" s="36" t="s">
        <v>217</v>
      </c>
    </row>
    <row r="60" spans="1:6">
      <c r="A60" s="17">
        <f>=_xlfn.XLOOKUP(B60,总表!B:B,总表!A:A)</f>
        <v>214</v>
      </c>
      <c r="B60" s="18" t="s">
        <v>105</v>
      </c>
      <c r="C60" s="19" t="s">
        <v>294</v>
      </c>
      <c r="D60" s="19" t="s">
        <v>215</v>
      </c>
      <c r="E60" s="30" t="s">
        <v>321</v>
      </c>
      <c r="F60" s="36" t="s">
        <v>217</v>
      </c>
    </row>
    <row r="61" spans="1:6">
      <c r="A61" s="17">
        <f>=_xlfn.XLOOKUP(B61,总表!B:B,总表!A:A)</f>
        <v>157</v>
      </c>
      <c r="B61" s="18" t="s">
        <v>82</v>
      </c>
      <c r="C61" s="19" t="s">
        <v>294</v>
      </c>
      <c r="D61" s="19" t="s">
        <v>215</v>
      </c>
      <c r="E61" s="30" t="s">
        <v>322</v>
      </c>
      <c r="F61" s="36" t="s">
        <v>217</v>
      </c>
    </row>
    <row r="62" spans="1:6">
      <c r="A62" s="17">
        <f>=_xlfn.XLOOKUP(B62,总表!B:B,总表!A:A)</f>
        <v>229</v>
      </c>
      <c r="B62" s="18" t="s">
        <v>323</v>
      </c>
      <c r="C62" s="19" t="s">
        <v>294</v>
      </c>
      <c r="D62" s="19" t="s">
        <v>228</v>
      </c>
      <c r="E62" s="30" t="s">
        <v>324</v>
      </c>
      <c r="F62" s="36" t="s">
        <v>217</v>
      </c>
    </row>
    <row r="63" spans="1:6">
      <c r="A63" s="17">
        <f>=_xlfn.XLOOKUP(B63,总表!B:B,总表!A:A)</f>
        <v>224</v>
      </c>
      <c r="B63" s="18" t="s">
        <v>325</v>
      </c>
      <c r="C63" s="19" t="s">
        <v>294</v>
      </c>
      <c r="D63" s="19" t="s">
        <v>228</v>
      </c>
      <c r="E63" s="30" t="s">
        <v>326</v>
      </c>
      <c r="F63" s="36" t="s">
        <v>217</v>
      </c>
    </row>
    <row r="64" spans="1:6">
      <c r="A64" s="17">
        <f>=_xlfn.XLOOKUP(B64,总表!B:B,总表!A:A)</f>
        <v>243</v>
      </c>
      <c r="B64" s="19" t="s">
        <v>327</v>
      </c>
      <c r="C64" s="19" t="s">
        <v>294</v>
      </c>
      <c r="D64" s="19" t="s">
        <v>224</v>
      </c>
      <c r="E64" s="19" t="s">
        <v>328</v>
      </c>
      <c r="F64" s="36" t="s">
        <v>217</v>
      </c>
    </row>
    <row r="65" spans="1:6">
      <c r="A65" s="17">
        <f>=_xlfn.XLOOKUP(B65,总表!B:B,总表!A:A)</f>
        <v>236</v>
      </c>
      <c r="B65" s="18" t="s">
        <v>118</v>
      </c>
      <c r="C65" s="19" t="s">
        <v>294</v>
      </c>
      <c r="D65" s="19" t="s">
        <v>228</v>
      </c>
      <c r="E65" s="30" t="s">
        <v>329</v>
      </c>
      <c r="F65" s="36" t="s">
        <v>217</v>
      </c>
    </row>
    <row r="66" spans="1:6">
      <c r="A66" s="17">
        <f>=_xlfn.XLOOKUP(B66,总表!B:B,总表!A:A)</f>
        <v>249</v>
      </c>
      <c r="B66" s="18" t="s">
        <v>330</v>
      </c>
      <c r="C66" s="19" t="s">
        <v>294</v>
      </c>
      <c r="D66" s="19" t="s">
        <v>228</v>
      </c>
      <c r="E66" s="30" t="s">
        <v>331</v>
      </c>
      <c r="F66" s="36" t="s">
        <v>217</v>
      </c>
    </row>
    <row r="67" spans="1:6">
      <c r="A67" s="17">
        <f>=_xlfn.XLOOKUP(B67,总表!B:B,总表!A:A)</f>
        <v>251</v>
      </c>
      <c r="B67" s="18" t="s">
        <v>122</v>
      </c>
      <c r="C67" s="19" t="s">
        <v>294</v>
      </c>
      <c r="D67" s="19" t="s">
        <v>228</v>
      </c>
      <c r="E67" s="30" t="s">
        <v>332</v>
      </c>
      <c r="F67" s="36" t="s">
        <v>217</v>
      </c>
    </row>
    <row r="68" spans="1:6">
      <c r="A68" s="17">
        <f>=_xlfn.XLOOKUP(B68,总表!B:B,总表!A:A)</f>
        <v>256</v>
      </c>
      <c r="B68" s="19" t="s">
        <v>333</v>
      </c>
      <c r="C68" s="19" t="s">
        <v>334</v>
      </c>
      <c r="D68" s="19" t="s">
        <v>236</v>
      </c>
      <c r="E68" s="19" t="s">
        <v>335</v>
      </c>
      <c r="F68" s="36" t="s">
        <v>217</v>
      </c>
    </row>
    <row r="69" spans="1:6">
      <c r="A69" s="17">
        <f>=_xlfn.XLOOKUP(B69,总表!B:B,总表!A:A)</f>
        <v>133</v>
      </c>
      <c r="B69" s="19" t="s">
        <v>75</v>
      </c>
      <c r="C69" s="18" t="s">
        <v>334</v>
      </c>
      <c r="D69" s="19" t="s">
        <v>236</v>
      </c>
      <c r="E69" s="19" t="s">
        <v>336</v>
      </c>
      <c r="F69" s="36" t="s">
        <v>217</v>
      </c>
    </row>
    <row r="70" spans="1:6">
      <c r="A70" s="17">
        <f>=_xlfn.XLOOKUP(B70,总表!B:B,总表!A:A)</f>
        <v>240</v>
      </c>
      <c r="B70" s="18" t="s">
        <v>337</v>
      </c>
      <c r="C70" s="18" t="s">
        <v>334</v>
      </c>
      <c r="D70" s="19" t="s">
        <v>228</v>
      </c>
      <c r="E70" s="30" t="s">
        <v>338</v>
      </c>
      <c r="F70" s="36" t="s">
        <v>217</v>
      </c>
    </row>
    <row r="71" spans="1:6">
      <c r="A71" s="17">
        <f>=_xlfn.XLOOKUP(B71,总表!B:B,总表!A:A)</f>
        <v>272</v>
      </c>
      <c r="B71" s="37" t="s">
        <v>339</v>
      </c>
      <c r="C71" s="18" t="s">
        <v>334</v>
      </c>
      <c r="D71" s="19" t="s">
        <v>228</v>
      </c>
      <c r="E71" s="30" t="s">
        <v>340</v>
      </c>
      <c r="F71" s="36" t="s">
        <v>217</v>
      </c>
    </row>
    <row r="72" spans="1:6">
      <c r="A72" s="17">
        <f>=_xlfn.XLOOKUP(B72,总表!B:B,总表!A:A)</f>
        <v>260</v>
      </c>
      <c r="B72" s="37" t="s">
        <v>341</v>
      </c>
      <c r="C72" s="18" t="s">
        <v>334</v>
      </c>
      <c r="D72" s="19" t="s">
        <v>228</v>
      </c>
      <c r="E72" s="30" t="s">
        <v>342</v>
      </c>
      <c r="F72" s="36" t="s">
        <v>217</v>
      </c>
    </row>
    <row r="73" spans="1:6">
      <c r="A73" s="17">
        <f>=_xlfn.XLOOKUP(B73,总表!B:B,总表!A:A)</f>
        <v>221</v>
      </c>
      <c r="B73" s="37" t="s">
        <v>343</v>
      </c>
      <c r="C73" s="18" t="s">
        <v>334</v>
      </c>
      <c r="D73" s="19" t="s">
        <v>228</v>
      </c>
      <c r="E73" s="35" t="s">
        <v>344</v>
      </c>
      <c r="F73" s="36" t="s">
        <v>217</v>
      </c>
    </row>
    <row r="74" spans="1:6">
      <c r="A74" s="17">
        <f>=_xlfn.XLOOKUP(B74,总表!B:B,总表!A:A)</f>
        <v>264</v>
      </c>
      <c r="B74" s="37" t="s">
        <v>125</v>
      </c>
      <c r="C74" s="18" t="s">
        <v>334</v>
      </c>
      <c r="D74" s="19" t="s">
        <v>228</v>
      </c>
      <c r="E74" s="30" t="s">
        <v>345</v>
      </c>
      <c r="F74" s="36" t="s">
        <v>217</v>
      </c>
    </row>
    <row r="75" spans="1:6">
      <c r="A75" s="17">
        <f>=_xlfn.XLOOKUP(B75,总表!B:B,总表!A:A)</f>
        <v>261</v>
      </c>
      <c r="B75" s="38" t="s">
        <v>346</v>
      </c>
      <c r="C75" s="18" t="s">
        <v>334</v>
      </c>
      <c r="D75" s="19" t="s">
        <v>228</v>
      </c>
      <c r="E75" s="30" t="s">
        <v>347</v>
      </c>
      <c r="F75" s="36" t="s">
        <v>217</v>
      </c>
    </row>
    <row r="76" spans="1:6">
      <c r="A76" s="17">
        <f>=_xlfn.XLOOKUP(B76,总表!B:B,总表!A:A)</f>
        <v>258</v>
      </c>
      <c r="B76" s="39" t="s">
        <v>348</v>
      </c>
      <c r="C76" s="18" t="s">
        <v>334</v>
      </c>
      <c r="D76" s="19" t="s">
        <v>228</v>
      </c>
      <c r="E76" s="30" t="s">
        <v>349</v>
      </c>
      <c r="F76" s="36" t="s">
        <v>217</v>
      </c>
    </row>
    <row r="77" spans="1:6">
      <c r="A77" s="17">
        <f>=_xlfn.XLOOKUP(B77,总表!B:B,总表!A:A)</f>
        <v>268</v>
      </c>
      <c r="B77" s="37" t="s">
        <v>127</v>
      </c>
      <c r="C77" s="18" t="s">
        <v>334</v>
      </c>
      <c r="D77" s="19" t="s">
        <v>228</v>
      </c>
      <c r="E77" s="30" t="s">
        <v>350</v>
      </c>
      <c r="F77" s="36" t="s">
        <v>217</v>
      </c>
    </row>
    <row r="78" spans="1:6">
      <c r="A78" s="17">
        <f>=_xlfn.XLOOKUP(B78,总表!B:B,总表!A:A)</f>
        <v>271</v>
      </c>
      <c r="B78" s="37" t="s">
        <v>351</v>
      </c>
      <c r="C78" s="18" t="s">
        <v>334</v>
      </c>
      <c r="D78" s="19" t="s">
        <v>228</v>
      </c>
      <c r="E78" s="30" t="s">
        <v>352</v>
      </c>
      <c r="F78" s="36" t="s">
        <v>217</v>
      </c>
    </row>
    <row r="79" spans="1:6">
      <c r="A79" s="17">
        <f>=_xlfn.XLOOKUP(B79,总表!B:B,总表!A:A)</f>
        <v>230</v>
      </c>
      <c r="B79" s="37" t="s">
        <v>286</v>
      </c>
      <c r="C79" s="18" t="s">
        <v>334</v>
      </c>
      <c r="D79" s="19" t="s">
        <v>228</v>
      </c>
      <c r="E79" s="30" t="s">
        <v>287</v>
      </c>
      <c r="F79" s="36" t="s">
        <v>217</v>
      </c>
    </row>
    <row r="80" spans="1:6">
      <c r="A80" s="17">
        <f>=_xlfn.XLOOKUP(B80,总表!B:B,总表!A:A)</f>
        <v>284</v>
      </c>
      <c r="B80" s="40" t="s">
        <v>353</v>
      </c>
      <c r="C80" s="18" t="s">
        <v>334</v>
      </c>
      <c r="D80" s="19" t="s">
        <v>228</v>
      </c>
      <c r="E80" s="35" t="s">
        <v>354</v>
      </c>
      <c r="F80" s="36" t="s">
        <v>217</v>
      </c>
    </row>
    <row r="81" spans="1:6">
      <c r="A81" s="17">
        <f>=_xlfn.XLOOKUP(B81,总表!B:B,总表!A:A)</f>
        <v>259</v>
      </c>
      <c r="B81" s="39" t="s">
        <v>355</v>
      </c>
      <c r="C81" s="18" t="s">
        <v>334</v>
      </c>
      <c r="D81" s="19" t="s">
        <v>228</v>
      </c>
      <c r="E81" s="35" t="s">
        <v>356</v>
      </c>
      <c r="F81" s="36" t="s">
        <v>217</v>
      </c>
    </row>
    <row r="82" spans="1:6">
      <c r="A82" s="17">
        <f>=_xlfn.XLOOKUP(B82,总表!B:B,总表!A:A)</f>
        <v>279</v>
      </c>
      <c r="B82" s="37" t="s">
        <v>135</v>
      </c>
      <c r="C82" s="18" t="s">
        <v>334</v>
      </c>
      <c r="D82" s="19" t="s">
        <v>228</v>
      </c>
      <c r="E82" s="35" t="s">
        <v>357</v>
      </c>
      <c r="F82" s="36" t="s">
        <v>217</v>
      </c>
    </row>
    <row r="83" spans="1:6">
      <c r="A83" s="17">
        <f>=_xlfn.XLOOKUP(B83,总表!B:B,总表!A:A)</f>
        <v>274</v>
      </c>
      <c r="B83" s="37" t="s">
        <v>358</v>
      </c>
      <c r="C83" s="18" t="s">
        <v>334</v>
      </c>
      <c r="D83" s="19" t="s">
        <v>228</v>
      </c>
      <c r="E83" s="35" t="s">
        <v>359</v>
      </c>
      <c r="F83" s="36" t="s">
        <v>217</v>
      </c>
    </row>
    <row r="84" spans="1:6">
      <c r="A84" s="17">
        <f>=_xlfn.XLOOKUP(B84,总表!B:B,总表!A:A)</f>
        <v>286</v>
      </c>
      <c r="B84" s="39" t="s">
        <v>140</v>
      </c>
      <c r="C84" s="41" t="s">
        <v>334</v>
      </c>
      <c r="D84" s="19" t="s">
        <v>228</v>
      </c>
      <c r="E84" s="35" t="s">
        <v>360</v>
      </c>
      <c r="F84" s="36" t="s">
        <v>217</v>
      </c>
    </row>
    <row r="85" spans="1:6">
      <c r="A85" s="17">
        <f>=_xlfn.XLOOKUP(B85,总表!B:B,总表!A:A)</f>
        <v>287</v>
      </c>
      <c r="B85" s="37" t="s">
        <v>361</v>
      </c>
      <c r="C85" s="18" t="s">
        <v>334</v>
      </c>
      <c r="D85" s="19" t="s">
        <v>228</v>
      </c>
      <c r="E85" s="35" t="s">
        <v>362</v>
      </c>
      <c r="F85" s="36" t="s">
        <v>217</v>
      </c>
    </row>
    <row r="86" spans="1:6">
      <c r="A86" s="17">
        <f>=_xlfn.XLOOKUP(B86,总表!B:B,总表!A:A)</f>
        <v>267</v>
      </c>
      <c r="B86" s="42" t="s">
        <v>363</v>
      </c>
      <c r="C86" s="19" t="s">
        <v>334</v>
      </c>
      <c r="D86" s="19" t="s">
        <v>224</v>
      </c>
      <c r="E86" s="19" t="s">
        <v>364</v>
      </c>
      <c r="F86" s="36" t="s">
        <v>217</v>
      </c>
    </row>
    <row r="87" spans="1:6">
      <c r="A87" s="17">
        <f>=_xlfn.XLOOKUP(B87,总表!B:B,总表!A:A)</f>
        <v>290</v>
      </c>
      <c r="B87" s="42" t="s">
        <v>365</v>
      </c>
      <c r="C87" s="19" t="s">
        <v>334</v>
      </c>
      <c r="D87" s="19" t="s">
        <v>224</v>
      </c>
      <c r="E87" s="19" t="s">
        <v>366</v>
      </c>
      <c r="F87" s="36" t="s">
        <v>217</v>
      </c>
    </row>
    <row r="88" spans="1:6">
      <c r="A88" s="17">
        <f>=_xlfn.XLOOKUP(B88,总表!B:B,总表!A:A)</f>
        <v>289</v>
      </c>
      <c r="B88" s="37" t="s">
        <v>367</v>
      </c>
      <c r="C88" s="19" t="s">
        <v>334</v>
      </c>
      <c r="D88" s="19" t="s">
        <v>228</v>
      </c>
      <c r="E88" s="35" t="s">
        <v>368</v>
      </c>
      <c r="F88" s="36" t="s">
        <v>217</v>
      </c>
    </row>
    <row r="89" spans="1:6">
      <c r="A89" s="17">
        <f>=_xlfn.XLOOKUP(B89,总表!B:B,总表!A:A)</f>
        <v>283</v>
      </c>
      <c r="B89" s="42" t="s">
        <v>369</v>
      </c>
      <c r="C89" s="19" t="s">
        <v>334</v>
      </c>
      <c r="D89" s="19" t="s">
        <v>234</v>
      </c>
      <c r="E89" s="19" t="s">
        <v>370</v>
      </c>
      <c r="F89" s="36" t="s">
        <v>217</v>
      </c>
    </row>
    <row r="90" spans="1:6">
      <c r="A90" s="17">
        <f>=_xlfn.XLOOKUP(B90,总表!B:B,总表!A:A)</f>
        <v>15</v>
      </c>
      <c r="B90" s="42" t="s">
        <v>371</v>
      </c>
      <c r="C90" s="19" t="s">
        <v>334</v>
      </c>
      <c r="D90" s="19" t="s">
        <v>215</v>
      </c>
      <c r="E90" s="19" t="s">
        <v>372</v>
      </c>
      <c r="F90" s="36" t="s">
        <v>217</v>
      </c>
    </row>
    <row r="91" spans="1:6">
      <c r="A91" s="17">
        <f>=_xlfn.XLOOKUP(B91,总表!B:B,总表!A:A)</f>
        <v>314</v>
      </c>
      <c r="B91" s="37" t="s">
        <v>373</v>
      </c>
      <c r="C91" s="19" t="s">
        <v>374</v>
      </c>
      <c r="D91" s="19" t="s">
        <v>228</v>
      </c>
      <c r="E91" s="35" t="s">
        <v>375</v>
      </c>
      <c r="F91" s="36" t="s">
        <v>217</v>
      </c>
    </row>
    <row r="92" spans="1:6">
      <c r="A92" s="17">
        <f>=_xlfn.XLOOKUP(B92,总表!B:B,总表!A:A)</f>
        <v>233</v>
      </c>
      <c r="B92" s="37" t="s">
        <v>293</v>
      </c>
      <c r="C92" s="19" t="s">
        <v>374</v>
      </c>
      <c r="D92" s="19" t="s">
        <v>228</v>
      </c>
      <c r="E92" s="35" t="s">
        <v>376</v>
      </c>
      <c r="F92" s="36" t="s">
        <v>217</v>
      </c>
    </row>
    <row r="93" spans="1:6">
      <c r="A93" s="17">
        <f>=_xlfn.XLOOKUP(B93,总表!B:B,总表!A:A)</f>
        <v>323</v>
      </c>
      <c r="B93" s="42" t="s">
        <v>377</v>
      </c>
      <c r="C93" s="19" t="s">
        <v>374</v>
      </c>
      <c r="D93" s="19" t="s">
        <v>224</v>
      </c>
      <c r="E93" s="19" t="s">
        <v>378</v>
      </c>
      <c r="F93" s="36" t="s">
        <v>217</v>
      </c>
    </row>
    <row r="94" spans="1:6">
      <c r="A94" s="17">
        <f>=_xlfn.XLOOKUP(B94,总表!B:B,总表!A:A)</f>
        <v>174</v>
      </c>
      <c r="B94" s="42" t="s">
        <v>91</v>
      </c>
      <c r="C94" s="19" t="s">
        <v>374</v>
      </c>
      <c r="D94" s="19" t="s">
        <v>224</v>
      </c>
      <c r="E94" s="19" t="s">
        <v>379</v>
      </c>
      <c r="F94" s="36" t="s">
        <v>217</v>
      </c>
    </row>
    <row r="95" spans="1:6">
      <c r="A95" s="17">
        <f>=_xlfn.XLOOKUP(B95,总表!B:B,总表!A:A)</f>
        <v>276</v>
      </c>
      <c r="B95" s="42" t="s">
        <v>133</v>
      </c>
      <c r="C95" s="19" t="s">
        <v>374</v>
      </c>
      <c r="D95" s="19" t="s">
        <v>224</v>
      </c>
      <c r="E95" s="19" t="s">
        <v>380</v>
      </c>
      <c r="F95" s="36" t="s">
        <v>217</v>
      </c>
    </row>
    <row r="96" spans="1:6">
      <c r="A96" s="17">
        <f>=_xlfn.XLOOKUP(B96,总表!B:B,总表!A:A)</f>
        <v>282</v>
      </c>
      <c r="B96" s="19" t="s">
        <v>138</v>
      </c>
      <c r="C96" s="19" t="s">
        <v>374</v>
      </c>
      <c r="D96" s="19" t="s">
        <v>224</v>
      </c>
      <c r="E96" s="19" t="s">
        <v>381</v>
      </c>
      <c r="F96" s="36" t="s">
        <v>217</v>
      </c>
    </row>
    <row r="97" spans="1:6">
      <c r="A97" s="17">
        <f>=_xlfn.XLOOKUP(B97,总表!B:B,总表!A:A)</f>
        <v>298</v>
      </c>
      <c r="B97" s="18" t="s">
        <v>145</v>
      </c>
      <c r="C97" s="19" t="s">
        <v>374</v>
      </c>
      <c r="D97" s="19" t="s">
        <v>228</v>
      </c>
      <c r="E97" s="35" t="s">
        <v>382</v>
      </c>
      <c r="F97" s="36" t="s">
        <v>217</v>
      </c>
    </row>
    <row r="98" spans="1:6">
      <c r="A98" s="17">
        <f>=_xlfn.XLOOKUP(B98,总表!B:B,总表!A:A)</f>
        <v>285</v>
      </c>
      <c r="B98" s="18" t="s">
        <v>139</v>
      </c>
      <c r="C98" s="19" t="s">
        <v>374</v>
      </c>
      <c r="D98" s="19" t="s">
        <v>228</v>
      </c>
      <c r="E98" s="35" t="s">
        <v>383</v>
      </c>
      <c r="F98" s="36" t="s">
        <v>217</v>
      </c>
    </row>
    <row r="99" spans="1:6">
      <c r="A99" s="17">
        <f>=_xlfn.XLOOKUP(B99,总表!B:B,总表!A:A)</f>
        <v>315</v>
      </c>
      <c r="B99" s="19" t="s">
        <v>384</v>
      </c>
      <c r="C99" s="19" t="s">
        <v>374</v>
      </c>
      <c r="D99" s="19" t="s">
        <v>224</v>
      </c>
      <c r="E99" s="19" t="s">
        <v>385</v>
      </c>
      <c r="F99" s="36" t="s">
        <v>217</v>
      </c>
    </row>
    <row r="100" spans="1:6">
      <c r="A100" s="17">
        <f>=_xlfn.XLOOKUP(B100,总表!B:B,总表!A:A)</f>
        <v>334</v>
      </c>
      <c r="B100" s="18" t="s">
        <v>386</v>
      </c>
      <c r="C100" s="19" t="s">
        <v>374</v>
      </c>
      <c r="D100" s="19" t="s">
        <v>228</v>
      </c>
      <c r="E100" s="35" t="s">
        <v>387</v>
      </c>
      <c r="F100" s="36" t="s">
        <v>217</v>
      </c>
    </row>
    <row r="101" spans="1:6">
      <c r="A101" s="17">
        <f>=_xlfn.XLOOKUP(B101,总表!B:B,总表!A:A)</f>
        <v>288</v>
      </c>
      <c r="B101" s="18" t="s">
        <v>141</v>
      </c>
      <c r="C101" s="19" t="s">
        <v>374</v>
      </c>
      <c r="D101" s="19" t="s">
        <v>228</v>
      </c>
      <c r="E101" s="35" t="s">
        <v>388</v>
      </c>
      <c r="F101" s="36" t="s">
        <v>217</v>
      </c>
    </row>
    <row r="102" spans="1:6">
      <c r="A102" s="17">
        <f>=_xlfn.XLOOKUP(B102,总表!B:B,总表!A:A)</f>
        <v>320</v>
      </c>
      <c r="B102" s="18" t="s">
        <v>389</v>
      </c>
      <c r="C102" s="19" t="s">
        <v>374</v>
      </c>
      <c r="D102" s="19" t="s">
        <v>228</v>
      </c>
      <c r="E102" s="35" t="s">
        <v>390</v>
      </c>
      <c r="F102" s="36" t="s">
        <v>217</v>
      </c>
    </row>
    <row r="103" spans="1:6">
      <c r="A103" s="17">
        <f>=_xlfn.XLOOKUP(B103,总表!B:B,总表!A:A)</f>
        <v>333</v>
      </c>
      <c r="B103" s="18" t="s">
        <v>391</v>
      </c>
      <c r="C103" s="19" t="s">
        <v>374</v>
      </c>
      <c r="D103" s="19" t="s">
        <v>228</v>
      </c>
      <c r="E103" s="35" t="s">
        <v>392</v>
      </c>
      <c r="F103" s="36" t="s">
        <v>217</v>
      </c>
    </row>
    <row r="104" spans="1:6">
      <c r="A104" s="17">
        <f>=_xlfn.XLOOKUP(B104,总表!B:B,总表!A:A)</f>
        <v>312</v>
      </c>
      <c r="B104" s="19" t="s">
        <v>393</v>
      </c>
      <c r="C104" s="19" t="s">
        <v>374</v>
      </c>
      <c r="D104" s="19" t="s">
        <v>236</v>
      </c>
      <c r="E104" s="19" t="s">
        <v>394</v>
      </c>
      <c r="F104" s="36" t="s">
        <v>217</v>
      </c>
    </row>
    <row r="105" spans="1:6">
      <c r="A105" s="17">
        <f>=_xlfn.XLOOKUP(B105,总表!B:B,总表!A:A)</f>
        <v>342</v>
      </c>
      <c r="B105" s="19" t="s">
        <v>395</v>
      </c>
      <c r="C105" s="19" t="s">
        <v>374</v>
      </c>
      <c r="D105" s="19" t="s">
        <v>236</v>
      </c>
      <c r="E105" s="19" t="s">
        <v>396</v>
      </c>
      <c r="F105" s="36" t="s">
        <v>217</v>
      </c>
    </row>
    <row r="106" spans="1:6">
      <c r="A106" s="17">
        <f>=_xlfn.XLOOKUP(B106,总表!B:B,总表!A:A)</f>
        <v>177</v>
      </c>
      <c r="B106" s="19" t="s">
        <v>166</v>
      </c>
      <c r="C106" s="19" t="s">
        <v>374</v>
      </c>
      <c r="D106" s="19" t="s">
        <v>224</v>
      </c>
      <c r="E106" s="19" t="s">
        <v>397</v>
      </c>
      <c r="F106" s="36" t="s">
        <v>217</v>
      </c>
    </row>
    <row r="107" spans="1:6">
      <c r="A107" s="17">
        <f>=_xlfn.XLOOKUP(B107,总表!B:B,总表!A:A)</f>
        <v>341</v>
      </c>
      <c r="B107" s="19" t="s">
        <v>165</v>
      </c>
      <c r="C107" s="19" t="s">
        <v>374</v>
      </c>
      <c r="D107" s="19" t="s">
        <v>234</v>
      </c>
      <c r="E107" s="19" t="s">
        <v>398</v>
      </c>
      <c r="F107" s="36" t="s">
        <v>217</v>
      </c>
    </row>
    <row r="108" spans="1:6">
      <c r="A108" s="17">
        <f>=_xlfn.XLOOKUP(B108,总表!B:B,总表!A:A)</f>
        <v>351</v>
      </c>
      <c r="B108" s="19" t="s">
        <v>399</v>
      </c>
      <c r="C108" s="19" t="s">
        <v>374</v>
      </c>
      <c r="D108" s="19" t="s">
        <v>234</v>
      </c>
      <c r="E108" s="19" t="s">
        <v>400</v>
      </c>
      <c r="F108" s="36" t="s">
        <v>217</v>
      </c>
    </row>
    <row r="109" spans="1:6">
      <c r="A109" s="17">
        <f>=_xlfn.XLOOKUP(B109,总表!B:B,总表!A:A)</f>
        <v>321</v>
      </c>
      <c r="B109" s="19" t="s">
        <v>401</v>
      </c>
      <c r="C109" s="19" t="s">
        <v>374</v>
      </c>
      <c r="D109" s="19" t="s">
        <v>234</v>
      </c>
      <c r="E109" s="19" t="s">
        <v>402</v>
      </c>
      <c r="F109" s="36" t="s">
        <v>217</v>
      </c>
    </row>
    <row r="110" spans="1:6">
      <c r="A110" s="17">
        <f>=_xlfn.XLOOKUP(B110,总表!B:B,总表!A:A)</f>
        <v>385</v>
      </c>
      <c r="B110" s="19" t="s">
        <v>403</v>
      </c>
      <c r="C110" s="19" t="s">
        <v>374</v>
      </c>
      <c r="D110" s="19" t="s">
        <v>224</v>
      </c>
      <c r="E110" s="19" t="s">
        <v>404</v>
      </c>
      <c r="F110" s="36" t="s">
        <v>217</v>
      </c>
    </row>
    <row r="111" spans="1:6">
      <c r="A111" s="17">
        <f>=_xlfn.XLOOKUP(B111,总表!B:B,总表!A:A)</f>
        <v>363</v>
      </c>
      <c r="B111" s="19" t="s">
        <v>405</v>
      </c>
      <c r="C111" s="19" t="s">
        <v>374</v>
      </c>
      <c r="D111" s="19" t="s">
        <v>224</v>
      </c>
      <c r="E111" s="19" t="s">
        <v>406</v>
      </c>
      <c r="F111" s="36" t="s">
        <v>217</v>
      </c>
    </row>
    <row r="112" spans="1:6">
      <c r="A112" s="17">
        <f>=_xlfn.XLOOKUP(B112,总表!B:B,总表!A:A)</f>
        <v>337</v>
      </c>
      <c r="B112" s="18" t="s">
        <v>407</v>
      </c>
      <c r="C112" s="19" t="s">
        <v>374</v>
      </c>
      <c r="D112" s="19" t="s">
        <v>228</v>
      </c>
      <c r="E112" s="35" t="s">
        <v>408</v>
      </c>
      <c r="F112" s="36" t="s">
        <v>217</v>
      </c>
    </row>
    <row r="113" spans="1:6">
      <c r="A113" s="17">
        <f>=_xlfn.XLOOKUP(B113,总表!B:B,总表!A:A)</f>
        <v>352</v>
      </c>
      <c r="B113" s="19" t="s">
        <v>409</v>
      </c>
      <c r="C113" s="19" t="s">
        <v>374</v>
      </c>
      <c r="D113" s="19" t="s">
        <v>224</v>
      </c>
      <c r="E113" s="19" t="s">
        <v>410</v>
      </c>
      <c r="F113" s="36" t="s">
        <v>217</v>
      </c>
    </row>
    <row r="114" spans="1:6">
      <c r="A114" s="17">
        <f>=_xlfn.XLOOKUP(B114,总表!B:B,总表!A:A)</f>
        <v>229</v>
      </c>
      <c r="B114" s="18" t="s">
        <v>323</v>
      </c>
      <c r="C114" s="19" t="s">
        <v>374</v>
      </c>
      <c r="D114" s="19" t="s">
        <v>228</v>
      </c>
      <c r="E114" s="19" t="s">
        <v>324</v>
      </c>
      <c r="F114" s="36" t="s">
        <v>217</v>
      </c>
    </row>
    <row r="115" spans="1:6">
      <c r="A115" s="17">
        <f>=_xlfn.XLOOKUP(B115,总表!B:B,总表!A:A)</f>
        <v>346</v>
      </c>
      <c r="B115" s="19" t="s">
        <v>411</v>
      </c>
      <c r="C115" s="19" t="s">
        <v>374</v>
      </c>
      <c r="D115" s="19" t="s">
        <v>228</v>
      </c>
      <c r="E115" s="35" t="s">
        <v>1704</v>
      </c>
      <c r="F115" s="36" t="s">
        <v>217</v>
      </c>
    </row>
    <row r="116" spans="1:6">
      <c r="A116" s="17">
        <f>=_xlfn.XLOOKUP(B116,总表!B:B,总表!A:A)</f>
        <v>379</v>
      </c>
      <c r="B116" s="18" t="s">
        <v>189</v>
      </c>
      <c r="C116" s="19" t="s">
        <v>374</v>
      </c>
      <c r="D116" s="19" t="s">
        <v>228</v>
      </c>
      <c r="E116" s="35" t="s">
        <v>412</v>
      </c>
      <c r="F116" s="36" t="s">
        <v>217</v>
      </c>
    </row>
    <row r="117" spans="1:6">
      <c r="A117" s="17">
        <f>=_xlfn.XLOOKUP(B117,总表!B:B,总表!A:A)</f>
        <v>271</v>
      </c>
      <c r="B117" s="19" t="s">
        <v>351</v>
      </c>
      <c r="C117" s="19" t="s">
        <v>374</v>
      </c>
      <c r="D117" s="19" t="s">
        <v>228</v>
      </c>
      <c r="E117" s="35" t="s">
        <v>352</v>
      </c>
      <c r="F117" s="36" t="s">
        <v>217</v>
      </c>
    </row>
    <row r="118" spans="1:6">
      <c r="A118" s="17">
        <f>=_xlfn.XLOOKUP(B118,总表!B:B,总表!A:A)</f>
        <v>13</v>
      </c>
      <c r="B118" s="43" t="s">
        <v>17</v>
      </c>
      <c r="C118" s="19" t="s">
        <v>374</v>
      </c>
      <c r="D118" s="19" t="s">
        <v>215</v>
      </c>
      <c r="E118" s="35" t="s">
        <v>413</v>
      </c>
      <c r="F118" s="36" t="s">
        <v>217</v>
      </c>
    </row>
    <row r="119" spans="1:6">
      <c r="A119" s="17">
        <f>=_xlfn.XLOOKUP(B119,总表!B:B,总表!A:A)</f>
        <v>17</v>
      </c>
      <c r="B119" s="43" t="s">
        <v>28</v>
      </c>
      <c r="C119" s="19" t="s">
        <v>374</v>
      </c>
      <c r="D119" s="19" t="s">
        <v>215</v>
      </c>
      <c r="E119" s="19" t="s">
        <v>414</v>
      </c>
      <c r="F119" s="36" t="s">
        <v>217</v>
      </c>
    </row>
    <row r="120" spans="1:6">
      <c r="A120" s="17">
        <f>=_xlfn.XLOOKUP(B120,总表!B:B,总表!A:A)</f>
        <v>80</v>
      </c>
      <c r="B120" s="44" t="s">
        <v>49</v>
      </c>
      <c r="C120" s="19" t="s">
        <v>374</v>
      </c>
      <c r="D120" s="19" t="s">
        <v>215</v>
      </c>
      <c r="E120" s="35" t="s">
        <v>415</v>
      </c>
      <c r="F120" s="36" t="s">
        <v>217</v>
      </c>
    </row>
    <row r="121" spans="1:6">
      <c r="A121" s="17">
        <f>=_xlfn.XLOOKUP(B121,总表!B:B,总表!A:A)</f>
        <v>101</v>
      </c>
      <c r="B121" s="43" t="s">
        <v>59</v>
      </c>
      <c r="C121" s="19" t="s">
        <v>374</v>
      </c>
      <c r="D121" s="19" t="s">
        <v>215</v>
      </c>
      <c r="E121" s="35" t="s">
        <v>416</v>
      </c>
      <c r="F121" s="36" t="s">
        <v>217</v>
      </c>
    </row>
    <row r="122" spans="1:6">
      <c r="A122" s="17">
        <f>=_xlfn.XLOOKUP(B122,总表!B:B,总表!A:A)</f>
        <v>127</v>
      </c>
      <c r="B122" s="44" t="s">
        <v>71</v>
      </c>
      <c r="C122" s="19" t="s">
        <v>374</v>
      </c>
      <c r="D122" s="19" t="s">
        <v>215</v>
      </c>
      <c r="E122" s="35" t="s">
        <v>417</v>
      </c>
      <c r="F122" s="36" t="s">
        <v>217</v>
      </c>
    </row>
    <row r="123" spans="1:6">
      <c r="A123" s="17">
        <f>=_xlfn.XLOOKUP(B123,总表!B:B,总表!A:A)</f>
        <v>193</v>
      </c>
      <c r="B123" s="43" t="s">
        <v>96</v>
      </c>
      <c r="C123" s="19" t="s">
        <v>374</v>
      </c>
      <c r="D123" s="19" t="s">
        <v>215</v>
      </c>
      <c r="E123" s="35" t="s">
        <v>418</v>
      </c>
      <c r="F123" s="36" t="s">
        <v>217</v>
      </c>
    </row>
    <row r="124" spans="1:6">
      <c r="A124" s="17">
        <f>=_xlfn.XLOOKUP(B124,总表!B:B,总表!A:A)</f>
        <v>278</v>
      </c>
      <c r="B124" s="43" t="s">
        <v>134</v>
      </c>
      <c r="C124" s="19" t="s">
        <v>374</v>
      </c>
      <c r="D124" s="19" t="s">
        <v>215</v>
      </c>
      <c r="E124" s="35" t="s">
        <v>419</v>
      </c>
      <c r="F124" s="36" t="s">
        <v>217</v>
      </c>
    </row>
    <row r="125" spans="1:6">
      <c r="A125" s="17">
        <f>=_xlfn.XLOOKUP(B125,总表!B:B,总表!A:A)</f>
        <v>301</v>
      </c>
      <c r="B125" s="43" t="s">
        <v>420</v>
      </c>
      <c r="C125" s="19" t="s">
        <v>374</v>
      </c>
      <c r="D125" s="19" t="s">
        <v>215</v>
      </c>
      <c r="E125" s="35" t="s">
        <v>421</v>
      </c>
      <c r="F125" s="36" t="s">
        <v>217</v>
      </c>
    </row>
    <row r="126" spans="1:6">
      <c r="A126" s="17">
        <f>=_xlfn.XLOOKUP(B126,总表!B:B,总表!A:A)</f>
        <v>305</v>
      </c>
      <c r="B126" s="43" t="s">
        <v>422</v>
      </c>
      <c r="C126" s="19" t="s">
        <v>374</v>
      </c>
      <c r="D126" s="19" t="s">
        <v>215</v>
      </c>
      <c r="E126" s="35" t="s">
        <v>423</v>
      </c>
      <c r="F126" s="36" t="s">
        <v>217</v>
      </c>
    </row>
    <row r="127" spans="1:6">
      <c r="A127" s="17">
        <f>=_xlfn.XLOOKUP(B127,总表!B:B,总表!A:A)</f>
        <v>368</v>
      </c>
      <c r="B127" s="19" t="s">
        <v>424</v>
      </c>
      <c r="C127" s="19" t="s">
        <v>374</v>
      </c>
      <c r="D127" s="19" t="s">
        <v>277</v>
      </c>
      <c r="E127" s="19" t="s">
        <v>425</v>
      </c>
      <c r="F127" s="36" t="s">
        <v>217</v>
      </c>
    </row>
    <row r="128" spans="2:6">
      <c r="B128" s="18" t="s">
        <v>426</v>
      </c>
      <c r="C128" s="19" t="s">
        <v>427</v>
      </c>
      <c r="D128" s="19" t="s">
        <v>277</v>
      </c>
      <c r="E128" s="19" t="s"/>
      <c r="F128" s="36" t="s">
        <v>217</v>
      </c>
    </row>
    <row r="129" spans="2:6">
      <c r="B129" s="18" t="s">
        <v>428</v>
      </c>
      <c r="C129" s="19" t="s">
        <v>427</v>
      </c>
      <c r="D129" s="19" t="s">
        <v>277</v>
      </c>
      <c r="E129" s="19" t="s"/>
      <c r="F129" s="36" t="s">
        <v>217</v>
      </c>
    </row>
    <row r="130" spans="2:6">
      <c r="B130" s="19" t="s">
        <v>429</v>
      </c>
      <c r="C130" s="19" t="s">
        <v>427</v>
      </c>
      <c r="D130" s="19" t="s">
        <v>277</v>
      </c>
      <c r="E130" s="19" t="s"/>
      <c r="F130" s="36" t="s">
        <v>217</v>
      </c>
    </row>
    <row r="131" spans="2:6">
      <c r="B131" s="18" t="s">
        <v>430</v>
      </c>
      <c r="C131" s="19" t="s">
        <v>374</v>
      </c>
      <c r="D131" s="19" t="s">
        <v>215</v>
      </c>
      <c r="E131" s="35" t="s">
        <v>431</v>
      </c>
      <c r="F131" s="45" t="s">
        <v>217</v>
      </c>
    </row>
    <row r="132" spans="2:6">
      <c r="B132" s="18" t="s">
        <v>432</v>
      </c>
      <c r="C132" s="19" t="s">
        <v>374</v>
      </c>
      <c r="D132" s="19" t="s">
        <v>215</v>
      </c>
      <c r="E132" s="35" t="s">
        <v>433</v>
      </c>
      <c r="F132" s="36" t="s">
        <v>217</v>
      </c>
    </row>
    <row r="133" spans="2:6">
      <c r="B133" s="18" t="s">
        <v>434</v>
      </c>
      <c r="C133" s="19" t="s">
        <v>374</v>
      </c>
      <c r="D133" s="19" t="s">
        <v>215</v>
      </c>
      <c r="E133" s="35" t="s">
        <v>435</v>
      </c>
      <c r="F133" s="36" t="s">
        <v>217</v>
      </c>
    </row>
    <row r="134" spans="2:6">
      <c r="B134" s="18" t="s">
        <v>436</v>
      </c>
      <c r="C134" s="19" t="s">
        <v>374</v>
      </c>
      <c r="D134" s="19" t="s">
        <v>215</v>
      </c>
      <c r="E134" s="35" t="s">
        <v>437</v>
      </c>
      <c r="F134" s="36" t="s">
        <v>217</v>
      </c>
    </row>
    <row r="135" spans="2:6">
      <c r="B135" s="19" t="s">
        <v>21</v>
      </c>
      <c r="C135" s="19" t="s">
        <v>427</v>
      </c>
      <c r="D135" s="19" t="s">
        <v>236</v>
      </c>
      <c r="E135" s="19" t="s">
        <v>438</v>
      </c>
      <c r="F135" s="36" t="s">
        <v>217</v>
      </c>
    </row>
    <row r="136" spans="2:6">
      <c r="B136" s="18" t="s">
        <v>439</v>
      </c>
      <c r="C136" s="19" t="s">
        <v>427</v>
      </c>
      <c r="D136" s="19" t="s">
        <v>277</v>
      </c>
      <c r="E136" s="19" t="s"/>
      <c r="F136" s="36" t="s">
        <v>217</v>
      </c>
    </row>
    <row r="137" spans="2:6">
      <c r="B137" s="19" t="s">
        <v>130</v>
      </c>
      <c r="C137" s="19" t="s">
        <v>427</v>
      </c>
      <c r="D137" s="19" t="s">
        <v>234</v>
      </c>
      <c r="E137" s="19" t="s">
        <v>440</v>
      </c>
      <c r="F137" s="36" t="s">
        <v>217</v>
      </c>
    </row>
    <row r="138" spans="2:6">
      <c r="B138" s="42" t="s">
        <v>196</v>
      </c>
      <c r="C138" s="42" t="s">
        <v>427</v>
      </c>
      <c r="D138" s="42" t="s">
        <v>234</v>
      </c>
      <c r="E138" s="42" t="s">
        <v>441</v>
      </c>
      <c r="F138" s="36" t="s">
        <v>217</v>
      </c>
    </row>
    <row r="139" spans="2:6">
      <c r="B139" s="42" t="s">
        <v>384</v>
      </c>
      <c r="C139" s="42" t="s">
        <v>427</v>
      </c>
      <c r="D139" s="42" t="s">
        <v>224</v>
      </c>
      <c r="E139" s="42" t="s">
        <v>385</v>
      </c>
      <c r="F139" s="36" t="s">
        <v>217</v>
      </c>
    </row>
    <row r="140" spans="2:6">
      <c r="B140" s="42" t="s">
        <v>442</v>
      </c>
      <c r="C140" s="42" t="s">
        <v>427</v>
      </c>
      <c r="D140" s="42" t="s">
        <v>224</v>
      </c>
      <c r="E140" s="42" t="s">
        <v>443</v>
      </c>
      <c r="F140" s="36" t="s">
        <v>217</v>
      </c>
    </row>
    <row r="141" spans="2:6">
      <c r="B141" s="42" t="s">
        <v>444</v>
      </c>
      <c r="C141" s="42" t="s">
        <v>427</v>
      </c>
      <c r="D141" s="42" t="s">
        <v>224</v>
      </c>
      <c r="E141" s="42" t="s">
        <v>445</v>
      </c>
      <c r="F141" s="36" t="s">
        <v>217</v>
      </c>
    </row>
    <row r="142" spans="2:6">
      <c r="B142" s="42" t="s">
        <v>446</v>
      </c>
      <c r="C142" s="42" t="s">
        <v>427</v>
      </c>
      <c r="D142" s="42" t="s">
        <v>234</v>
      </c>
      <c r="E142" s="42" t="s">
        <v>447</v>
      </c>
      <c r="F142" s="36" t="s">
        <v>217</v>
      </c>
    </row>
    <row r="143" spans="2:6">
      <c r="B143" s="42" t="s">
        <v>448</v>
      </c>
      <c r="C143" s="42" t="s">
        <v>427</v>
      </c>
      <c r="D143" s="42" t="s">
        <v>236</v>
      </c>
      <c r="E143" s="42" t="s">
        <v>449</v>
      </c>
      <c r="F143" s="36" t="s">
        <v>217</v>
      </c>
    </row>
    <row r="144" spans="2:6">
      <c r="B144" s="37" t="s">
        <v>450</v>
      </c>
      <c r="C144" s="42" t="s">
        <v>427</v>
      </c>
      <c r="D144" s="42" t="s">
        <v>228</v>
      </c>
      <c r="E144" s="42" t="s">
        <v>451</v>
      </c>
      <c r="F144" s="36" t="s">
        <v>217</v>
      </c>
    </row>
    <row r="145" spans="2:6">
      <c r="B145" s="37" t="s">
        <v>191</v>
      </c>
      <c r="C145" s="42" t="s">
        <v>427</v>
      </c>
      <c r="D145" s="42" t="s">
        <v>228</v>
      </c>
      <c r="E145" s="42" t="s">
        <v>452</v>
      </c>
      <c r="F145" s="36" t="s">
        <v>217</v>
      </c>
    </row>
    <row r="146" spans="2:6">
      <c r="B146" s="46" t="s">
        <v>157</v>
      </c>
      <c r="C146" s="42" t="s">
        <v>427</v>
      </c>
      <c r="D146" s="42" t="s">
        <v>228</v>
      </c>
      <c r="E146" s="42" t="s">
        <v>453</v>
      </c>
      <c r="F146" s="36" t="s">
        <v>217</v>
      </c>
    </row>
    <row r="147" spans="2:6">
      <c r="B147" s="47" t="s">
        <v>154</v>
      </c>
      <c r="C147" s="42" t="s">
        <v>427</v>
      </c>
      <c r="D147" s="42" t="s">
        <v>228</v>
      </c>
      <c r="E147" s="42" t="s">
        <v>454</v>
      </c>
      <c r="F147" s="36" t="s">
        <v>217</v>
      </c>
    </row>
    <row r="148" spans="2:6">
      <c r="B148" s="48" t="s">
        <v>151</v>
      </c>
      <c r="C148" s="42" t="s">
        <v>427</v>
      </c>
      <c r="D148" s="42" t="s">
        <v>215</v>
      </c>
      <c r="E148" s="42" t="s"/>
      <c r="F148" s="36" t="s">
        <v>217</v>
      </c>
    </row>
    <row r="149" spans="2:6">
      <c r="B149" s="47" t="s">
        <v>156</v>
      </c>
      <c r="C149" s="42" t="s">
        <v>427</v>
      </c>
      <c r="D149" s="42" t="s">
        <v>215</v>
      </c>
      <c r="E149" s="42" t="s"/>
      <c r="F149" s="36" t="s">
        <v>217</v>
      </c>
    </row>
    <row r="150" spans="2:6">
      <c r="B150" s="47" t="s">
        <v>158</v>
      </c>
      <c r="C150" s="42" t="s">
        <v>427</v>
      </c>
      <c r="D150" s="42" t="s">
        <v>215</v>
      </c>
      <c r="E150" s="42" t="s"/>
      <c r="F150" s="36" t="s">
        <v>217</v>
      </c>
    </row>
    <row r="151" spans="2:6">
      <c r="B151" s="49" t="s">
        <v>183</v>
      </c>
      <c r="C151" s="19" t="s">
        <v>455</v>
      </c>
      <c r="D151" s="19" t="s">
        <v>228</v>
      </c>
      <c r="E151" s="19" t="s">
        <v>456</v>
      </c>
      <c r="F151" s="36" t="s">
        <v>217</v>
      </c>
    </row>
    <row r="152" spans="2:6">
      <c r="B152" s="49" t="s">
        <v>457</v>
      </c>
      <c r="C152" s="19" t="s">
        <v>455</v>
      </c>
      <c r="D152" s="19" t="s">
        <v>239</v>
      </c>
      <c r="E152" s="18" t="s">
        <v>458</v>
      </c>
      <c r="F152" s="36" t="s">
        <v>217</v>
      </c>
    </row>
    <row r="153" spans="2:6">
      <c r="B153" s="49" t="s">
        <v>459</v>
      </c>
      <c r="C153" s="19" t="s">
        <v>455</v>
      </c>
      <c r="D153" s="19" t="s">
        <v>224</v>
      </c>
      <c r="E153" s="19" t="s">
        <v>460</v>
      </c>
      <c r="F153" s="36" t="s">
        <v>217</v>
      </c>
    </row>
    <row r="154" spans="2:6">
      <c r="B154" s="49" t="s">
        <v>461</v>
      </c>
      <c r="C154" s="19" t="s">
        <v>455</v>
      </c>
      <c r="D154" s="19" t="s">
        <v>239</v>
      </c>
      <c r="E154" s="19" t="s">
        <v>462</v>
      </c>
      <c r="F154" s="36" t="s">
        <v>217</v>
      </c>
    </row>
    <row r="155" spans="2:6">
      <c r="B155" s="49" t="s">
        <v>463</v>
      </c>
      <c r="C155" s="19" t="s">
        <v>455</v>
      </c>
      <c r="D155" s="19" t="s">
        <v>239</v>
      </c>
      <c r="E155" s="19" t="s">
        <v>464</v>
      </c>
      <c r="F155" s="36" t="s">
        <v>217</v>
      </c>
    </row>
    <row r="156" spans="2:6">
      <c r="B156" s="49" t="s">
        <v>465</v>
      </c>
      <c r="C156" s="19" t="s">
        <v>455</v>
      </c>
      <c r="D156" s="19" t="s">
        <v>239</v>
      </c>
      <c r="E156" s="19" t="s">
        <v>466</v>
      </c>
      <c r="F156" s="36" t="s">
        <v>217</v>
      </c>
    </row>
    <row r="157" spans="2:6">
      <c r="B157" s="49" t="s">
        <v>204</v>
      </c>
      <c r="C157" s="19" t="s">
        <v>455</v>
      </c>
      <c r="D157" s="19" t="s">
        <v>277</v>
      </c>
      <c r="E157" s="19" t="s">
        <v>467</v>
      </c>
      <c r="F157" s="36" t="s">
        <v>217</v>
      </c>
    </row>
    <row r="158" spans="2:6">
      <c r="B158" s="49" t="s">
        <v>117</v>
      </c>
      <c r="C158" s="19" t="s">
        <v>455</v>
      </c>
      <c r="D158" s="19" t="s">
        <v>224</v>
      </c>
      <c r="E158" s="19" t="s">
        <v>468</v>
      </c>
      <c r="F158" s="36" t="s">
        <v>217</v>
      </c>
    </row>
    <row r="159" spans="2:6">
      <c r="B159" s="19" t="s">
        <v>177</v>
      </c>
      <c r="C159" s="19" t="s">
        <v>455</v>
      </c>
      <c r="D159" s="19" t="s">
        <v>224</v>
      </c>
      <c r="E159" s="50" t="s">
        <v>469</v>
      </c>
      <c r="F159" s="36" t="s">
        <v>217</v>
      </c>
    </row>
    <row r="160" spans="2:6">
      <c r="B160" s="18" t="s">
        <v>171</v>
      </c>
      <c r="C160" s="19" t="s">
        <v>455</v>
      </c>
      <c r="D160" s="19" t="s">
        <v>228</v>
      </c>
      <c r="E160" s="19" t="s">
        <v>470</v>
      </c>
      <c r="F160" s="36" t="s">
        <v>217</v>
      </c>
    </row>
    <row r="161" spans="2:6">
      <c r="B161" s="19" t="s">
        <v>188</v>
      </c>
      <c r="C161" s="19" t="s">
        <v>455</v>
      </c>
      <c r="D161" s="19" t="s">
        <v>228</v>
      </c>
      <c r="E161" s="19" t="s">
        <v>471</v>
      </c>
      <c r="F161" s="36" t="s">
        <v>217</v>
      </c>
    </row>
    <row r="162" spans="2:6">
      <c r="B162" s="19" t="s">
        <v>144</v>
      </c>
      <c r="C162" s="19" t="s">
        <v>455</v>
      </c>
      <c r="D162" s="19" t="s">
        <v>228</v>
      </c>
      <c r="E162" s="19" t="s">
        <v>472</v>
      </c>
      <c r="F162" s="36" t="s">
        <v>217</v>
      </c>
    </row>
    <row r="163" spans="2:6">
      <c r="B163" s="19" t="s">
        <v>206</v>
      </c>
      <c r="C163" s="19" t="s">
        <v>455</v>
      </c>
      <c r="D163" s="19" t="s">
        <v>239</v>
      </c>
      <c r="E163" s="19" t="s">
        <v>473</v>
      </c>
      <c r="F163" s="36" t="s">
        <v>217</v>
      </c>
    </row>
    <row r="164" spans="2:6">
      <c r="B164" s="18" t="s">
        <v>474</v>
      </c>
      <c r="C164" s="19" t="s">
        <v>455</v>
      </c>
      <c r="D164" s="19" t="s">
        <v>239</v>
      </c>
      <c r="E164" s="19" t="s">
        <v>475</v>
      </c>
      <c r="F164" s="36" t="s">
        <v>217</v>
      </c>
    </row>
    <row r="165" spans="2:6">
      <c r="B165" s="19" t="s">
        <v>476</v>
      </c>
      <c r="C165" s="19" t="s">
        <v>455</v>
      </c>
      <c r="D165" s="19" t="s">
        <v>239</v>
      </c>
      <c r="E165" s="19" t="s">
        <v>477</v>
      </c>
      <c r="F165" s="36" t="s">
        <v>217</v>
      </c>
    </row>
    <row r="166" spans="2:6">
      <c r="B166" s="18" t="s">
        <v>478</v>
      </c>
      <c r="C166" s="19" t="s">
        <v>455</v>
      </c>
      <c r="D166" s="19" t="s">
        <v>239</v>
      </c>
      <c r="E166" s="18" t="s">
        <v>479</v>
      </c>
      <c r="F166" s="36" t="s">
        <v>217</v>
      </c>
    </row>
    <row r="167" spans="2:6">
      <c r="B167" s="18" t="s">
        <v>480</v>
      </c>
      <c r="C167" s="19" t="s">
        <v>455</v>
      </c>
      <c r="D167" s="19" t="s">
        <v>234</v>
      </c>
      <c r="E167" s="19" t="s">
        <v>481</v>
      </c>
      <c r="F167" s="36" t="s">
        <v>217</v>
      </c>
    </row>
    <row r="168" spans="2:6">
      <c r="B168" s="18" t="s">
        <v>176</v>
      </c>
      <c r="C168" s="19" t="s">
        <v>455</v>
      </c>
      <c r="D168" s="19" t="s">
        <v>277</v>
      </c>
      <c r="E168" s="19" t="s">
        <v>482</v>
      </c>
      <c r="F168" s="36" t="s">
        <v>217</v>
      </c>
    </row>
    <row r="169" spans="2:5">
      <c r="B169" s="18" t="s">
        <v>483</v>
      </c>
      <c r="C169" s="19" t="s">
        <v>270</v>
      </c>
      <c r="D169" s="19" t="s">
        <v>277</v>
      </c>
      <c r="E169" s="18" t="s">
        <v>484</v>
      </c>
    </row>
    <row r="170" spans="2:5">
      <c r="B170" s="18" t="s">
        <v>485</v>
      </c>
      <c r="C170" s="19" t="s">
        <v>270</v>
      </c>
      <c r="D170" s="19" t="s">
        <v>239</v>
      </c>
      <c r="E170" s="19" t="s">
        <v>486</v>
      </c>
    </row>
    <row r="171" spans="2:5">
      <c r="B171" s="51" t="s">
        <v>487</v>
      </c>
      <c r="C171" s="19" t="s">
        <v>270</v>
      </c>
      <c r="D171" s="19" t="s">
        <v>239</v>
      </c>
      <c r="E171" s="18" t="s">
        <v>488</v>
      </c>
    </row>
    <row r="172" spans="2:5">
      <c r="B172" s="52" t="s">
        <v>489</v>
      </c>
      <c r="C172" s="19" t="s">
        <v>270</v>
      </c>
      <c r="D172" s="19" t="s">
        <v>277</v>
      </c>
      <c r="E172" s="52" t="s">
        <v>490</v>
      </c>
    </row>
    <row r="173" spans="2:5">
      <c r="B173" s="17" t="s">
        <v>201</v>
      </c>
      <c r="C173" s="19" t="s">
        <v>270</v>
      </c>
      <c r="D173" s="17" t="s">
        <v>228</v>
      </c>
      <c r="E173" s="17" t="s">
        <v>491</v>
      </c>
    </row>
    <row r="174" spans="2:5">
      <c r="B174" s="17" t="s">
        <v>492</v>
      </c>
      <c r="C174" s="19" t="s">
        <v>270</v>
      </c>
      <c r="D174" s="17" t="s">
        <v>228</v>
      </c>
      <c r="E174" s="17" t="s">
        <v>493</v>
      </c>
    </row>
    <row r="175" spans="2:5">
      <c r="B175" s="17" t="s">
        <v>494</v>
      </c>
      <c r="C175" s="19" t="s">
        <v>270</v>
      </c>
      <c r="D175" s="17" t="s">
        <v>234</v>
      </c>
      <c r="E175" s="17" t="s">
        <v>495</v>
      </c>
    </row>
    <row r="176" spans="2:5">
      <c r="B176" s="52" t="s">
        <v>496</v>
      </c>
      <c r="C176" s="19" t="s">
        <v>270</v>
      </c>
      <c r="D176" s="17" t="s">
        <v>239</v>
      </c>
      <c r="E176" s="52" t="s">
        <v>497</v>
      </c>
    </row>
    <row r="177" spans="2:5">
      <c r="B177" s="52" t="s">
        <v>498</v>
      </c>
      <c r="C177" s="19" t="s">
        <v>270</v>
      </c>
      <c r="D177" s="17" t="s">
        <v>239</v>
      </c>
      <c r="E177" s="52" t="s">
        <v>499</v>
      </c>
    </row>
    <row r="178" spans="2:5">
      <c r="B178" s="52" t="s">
        <v>500</v>
      </c>
      <c r="C178" s="19" t="s">
        <v>270</v>
      </c>
      <c r="D178" s="17" t="s">
        <v>239</v>
      </c>
      <c r="E178" s="52" t="s">
        <v>501</v>
      </c>
    </row>
    <row r="179" spans="2:5">
      <c r="B179" s="53" t="s">
        <v>184</v>
      </c>
      <c r="C179" s="19" t="s">
        <v>270</v>
      </c>
      <c r="D179" s="17" t="s">
        <v>228</v>
      </c>
      <c r="E179" s="54" t="s">
        <v>502</v>
      </c>
    </row>
    <row r="180" spans="2:5">
      <c r="B180" s="55" t="s">
        <v>503</v>
      </c>
      <c r="C180" s="19" t="s">
        <v>270</v>
      </c>
      <c r="D180" s="17" t="s">
        <v>228</v>
      </c>
      <c r="E180" s="52" t="s">
        <v>504</v>
      </c>
    </row>
    <row r="181" spans="2:5">
      <c r="B181" s="17" t="s">
        <v>505</v>
      </c>
      <c r="C181" s="19" t="s">
        <v>270</v>
      </c>
      <c r="D181" s="17" t="s">
        <v>242</v>
      </c>
      <c r="E181" s="52" t="s">
        <v>506</v>
      </c>
    </row>
    <row r="182" spans="2:5">
      <c r="B182" s="17" t="s">
        <v>507</v>
      </c>
      <c r="C182" s="18" t="s">
        <v>270</v>
      </c>
      <c r="D182" s="17" t="s">
        <v>242</v>
      </c>
      <c r="E182" s="17" t="s">
        <v>508</v>
      </c>
    </row>
    <row r="183" spans="2:5">
      <c r="B183" s="17" t="s">
        <v>509</v>
      </c>
      <c r="C183" s="19" t="s">
        <v>270</v>
      </c>
      <c r="D183" s="17" t="s">
        <v>242</v>
      </c>
      <c r="E183" s="17" t="s">
        <v>510</v>
      </c>
    </row>
    <row r="184" spans="2:5">
      <c r="B184" s="17" t="s">
        <v>511</v>
      </c>
      <c r="C184" s="19" t="s">
        <v>270</v>
      </c>
      <c r="D184" s="17" t="s">
        <v>242</v>
      </c>
      <c r="E184" s="17" t="s">
        <v>512</v>
      </c>
    </row>
    <row r="185" spans="2:5">
      <c r="B185" s="17" t="s">
        <v>513</v>
      </c>
      <c r="C185" s="19" t="s">
        <v>270</v>
      </c>
      <c r="D185" s="17" t="s">
        <v>245</v>
      </c>
      <c r="E185" s="56" t="s">
        <v>514</v>
      </c>
    </row>
    <row r="186" spans="2:5">
      <c r="B186" s="17" t="s">
        <v>515</v>
      </c>
      <c r="C186" s="19" t="s">
        <v>270</v>
      </c>
      <c r="D186" s="17" t="s">
        <v>245</v>
      </c>
      <c r="E186" s="17" t="s">
        <v>516</v>
      </c>
    </row>
    <row r="187" spans="2:5">
      <c r="B187" s="17" t="s">
        <v>517</v>
      </c>
      <c r="C187" s="19" t="s">
        <v>270</v>
      </c>
      <c r="D187" s="17" t="s">
        <v>245</v>
      </c>
      <c r="E187" s="17" t="s">
        <v>518</v>
      </c>
    </row>
    <row r="188" spans="2:5">
      <c r="B188" s="52" t="s">
        <v>519</v>
      </c>
      <c r="C188" s="19" t="s">
        <v>270</v>
      </c>
      <c r="D188" s="19" t="s">
        <v>277</v>
      </c>
      <c r="E188" s="52" t="s">
        <v>520</v>
      </c>
    </row>
    <row r="189" spans="2:5">
      <c r="B189" s="52" t="s">
        <v>521</v>
      </c>
      <c r="C189" s="19" t="s">
        <v>270</v>
      </c>
      <c r="D189" s="19" t="s">
        <v>277</v>
      </c>
      <c r="E189" s="52" t="s">
        <v>522</v>
      </c>
    </row>
    <row r="190" spans="2:5">
      <c r="B190" s="17" t="s">
        <v>167</v>
      </c>
      <c r="C190" s="19" t="s">
        <v>270</v>
      </c>
      <c r="D190" s="17" t="s">
        <v>224</v>
      </c>
      <c r="E190" s="17" t="s">
        <v>523</v>
      </c>
    </row>
    <row r="191" spans="2:5">
      <c r="B191" s="17" t="s">
        <v>178</v>
      </c>
      <c r="C191" s="19" t="s">
        <v>270</v>
      </c>
      <c r="D191" s="17" t="s">
        <v>224</v>
      </c>
      <c r="E191" s="17" t="s">
        <v>524</v>
      </c>
    </row>
    <row r="192" spans="2:5">
      <c r="B192" s="52" t="s">
        <v>205</v>
      </c>
      <c r="C192" s="19" t="s">
        <v>270</v>
      </c>
      <c r="D192" s="17" t="s">
        <v>239</v>
      </c>
      <c r="E192" s="17" t="s">
        <v>525</v>
      </c>
    </row>
    <row r="193" spans="5:5">
      <c r="E193" s="17" t="s"/>
    </row>
    <row r="194" spans="5:5">
      <c r="E194" s="17" t="s"/>
    </row>
  </sheetData>
  <customSheetViews>
    <customSheetView guid="{B8B274A4-758E-48E5-A6F5-61944A07449E}" hiddenColumns="true">
      <pane ySplit="1" topLeftCell="A2" state="frozen"/>
    </customSheetView>
  </customSheetViews>
  <conditionalFormatting sqref="B76 B80:B81 B84 B127:B194">
    <cfRule type="duplicateValues" dxfId="0" priority="1"/>
  </conditionalFormatting>
  <dataValidations>
    <dataValidation type="list" errorStyle="stop" allowBlank="true" showDropDown="false" showInputMessage="true" showErrorMessage="true" prompt="" sqref="F2:F168">
      <formula1>"是,否,"</formula1>
    </dataValidation>
  </dataValidations>
  <hyperlinks>
    <hyperlink ref="E115" r:id="rId3"/>
  </hyperlinks>
</worksheet>
</file>

<file path=xl/worksheets/sheet3.xml><?xml version="1.0" encoding="utf-8"?>
<worksheet xmlns="http://schemas.openxmlformats.org/spreadsheetml/2006/main">
  <sheetPr codeName="规则备忘">
    <tabColor/>
  </sheetPr>
  <dimension ref="E35"/>
  <sheetViews>
    <sheetView showGridLines="true" workbookViewId="0"/>
  </sheetViews>
  <sheetFormatPr baseColWidth="13" defaultRowHeight="18" customHeight="true"/>
  <cols>
    <col min="1" max="1" width="12.7109" customWidth="true"/>
    <col min="2" max="2" width="16.7109" customWidth="true"/>
    <col min="3" max="3" width="20.7734" customWidth="true"/>
    <col min="4" max="4" width="35.3516" customWidth="true"/>
  </cols>
  <sheetData>
    <row r="1" spans="1:7">
      <c r="A1" s="19" t="s">
        <v>557</v>
      </c>
      <c r="B1" s="8" t="s"/>
      <c r="C1" s="8" t="s"/>
      <c r="E1" s="8" t="s">
        <v>558</v>
      </c>
      <c r="F1" s="8" t="s">
        <v>559</v>
      </c>
      <c r="G1" s="8" t="s">
        <v>560</v>
      </c>
    </row>
    <row r="2" spans="1:7">
      <c r="A2" s="67" t="s">
        <v>561</v>
      </c>
      <c r="B2" s="67" t="s">
        <v>562</v>
      </c>
      <c r="C2" s="67" t="s">
        <v>563</v>
      </c>
      <c r="E2" s="68" t="s">
        <v>564</v>
      </c>
      <c r="F2" s="8" t="s">
        <v>565</v>
      </c>
      <c r="G2" s="67" t="s">
        <v>566</v>
      </c>
    </row>
    <row r="3" spans="1:3">
      <c r="A3" s="67" t="s">
        <v>565</v>
      </c>
      <c r="B3" s="67" t="s">
        <v>566</v>
      </c>
      <c r="C3" s="69" t="s">
        <v>1705</v>
      </c>
    </row>
    <row r="4" spans="1:3" ht="52.5" customHeight="true">
      <c r="A4" s="67" t="s">
        <v>567</v>
      </c>
      <c r="B4" s="67" t="s">
        <v>568</v>
      </c>
      <c r="C4" s="8" t="s"/>
    </row>
    <row r="5" spans="1:3">
      <c r="A5" s="67" t="s">
        <v>569</v>
      </c>
      <c r="B5" s="70" t="s">
        <v>570</v>
      </c>
      <c r="C5" s="8" t="s"/>
    </row>
    <row r="6" spans="1:26"/>
    <row r="7" spans="1:1" ht="50.25" customHeight="true">
      <c r="A7" s="71" t="s">
        <v>571</v>
      </c>
    </row>
    <row r="10" spans="1:1">
      <c r="A10" s="72" t="s">
        <v>572</v>
      </c>
    </row>
    <row r="15" spans="1:4">
      <c r="A15" s="73" t="s">
        <v>573</v>
      </c>
      <c r="B15" s="8" t="s"/>
      <c r="C15" s="8" t="s"/>
      <c r="D15" s="8" t="s"/>
    </row>
    <row r="16" spans="1:4">
      <c r="A16" s="74" t="s">
        <v>574</v>
      </c>
      <c r="B16" s="8" t="s"/>
      <c r="C16" s="8" t="s"/>
      <c r="D16" s="8" t="s"/>
    </row>
    <row r="17" spans="1:4" ht="58.5" customHeight="true">
      <c r="A17" s="8" t="s"/>
      <c r="B17" s="8" t="s"/>
      <c r="C17" s="8" t="s"/>
      <c r="D17" s="8" t="s"/>
    </row>
    <row r="21" spans="1:1">
      <c r="A21" s="75" t="s">
        <v>575</v>
      </c>
    </row>
    <row r="22" spans="1:1">
      <c r="A22" s="66" t="s">
        <v>576</v>
      </c>
    </row>
    <row r="25" spans="1:26" ht="92.25" customHeight="true"/>
    <row r="28" spans="1:5">
      <c r="A28" s="76" t="s">
        <v>577</v>
      </c>
      <c r="B28" s="8" t="s"/>
      <c r="C28" s="8" t="s"/>
      <c r="D28" s="8" t="s"/>
      <c r="E28" s="8" t="s"/>
    </row>
    <row r="29" spans="1:7" ht="27.75" customHeight="true">
      <c r="A29" s="77" t="s">
        <v>578</v>
      </c>
      <c r="B29" s="78" t="s"/>
      <c r="C29" s="78" t="s"/>
      <c r="D29" s="78" t="s"/>
      <c r="E29" s="79" t="s"/>
      <c r="G29" s="80" t="s"/>
    </row>
    <row r="30" spans="1:7" ht="27.75" customHeight="true">
      <c r="A30" s="77" t="s">
        <v>579</v>
      </c>
      <c r="B30" s="78" t="s"/>
      <c r="C30" s="78" t="s"/>
      <c r="D30" s="78" t="s"/>
      <c r="E30" s="79" t="s"/>
      <c r="G30" s="80" t="s"/>
    </row>
    <row r="31" spans="1:7" ht="27.75" customHeight="true">
      <c r="A31" s="77" t="s">
        <v>580</v>
      </c>
      <c r="B31" s="78" t="s"/>
      <c r="C31" s="78" t="s"/>
      <c r="D31" s="78" t="s"/>
      <c r="E31" s="79" t="s"/>
      <c r="G31" s="80" t="s"/>
    </row>
    <row r="32" spans="1:7" ht="27.75" customHeight="true">
      <c r="A32" s="81" t="s">
        <v>581</v>
      </c>
      <c r="B32" s="78" t="s"/>
      <c r="C32" s="78" t="s"/>
      <c r="D32" s="78" t="s"/>
      <c r="E32" s="79" t="s"/>
      <c r="G32" s="80" t="s"/>
    </row>
    <row r="33" spans="1:7" ht="27.75" customHeight="true">
      <c r="A33" s="77" t="s">
        <v>582</v>
      </c>
      <c r="B33" s="78" t="s"/>
      <c r="C33" s="78" t="s"/>
      <c r="D33" s="78" t="s"/>
      <c r="E33" s="79" t="s"/>
      <c r="G33" s="80" t="s"/>
    </row>
    <row r="34" spans="1:7">
      <c r="A34" s="82" t="s">
        <v>583</v>
      </c>
      <c r="B34" s="8" t="s"/>
      <c r="C34" s="8" t="s"/>
      <c r="D34" s="83" t="s">
        <v>584</v>
      </c>
      <c r="E34" s="83" t="s">
        <v>585</v>
      </c>
      <c r="G34" s="80" t="s"/>
    </row>
    <row r="35" spans="1:5">
      <c r="A35" s="8" t="s"/>
      <c r="B35" s="8" t="s"/>
      <c r="C35" s="8" t="s"/>
      <c r="D35" s="83" t="s">
        <v>586</v>
      </c>
      <c r="E35" s="84" t="s">
        <v>587</v>
      </c>
    </row>
  </sheetData>
  <mergeCells count="16">
    <mergeCell ref="C3:C4"/>
    <mergeCell ref="B5:C5"/>
    <mergeCell ref="A1:C1"/>
    <mergeCell ref="A7:C7"/>
    <mergeCell ref="A10:D12"/>
    <mergeCell ref="A28:E28"/>
    <mergeCell ref="A29:E29"/>
    <mergeCell ref="A30:E30"/>
    <mergeCell ref="A31:E31"/>
    <mergeCell ref="A32:E32"/>
    <mergeCell ref="A33:E33"/>
    <mergeCell ref="A34:C35"/>
    <mergeCell ref="A16:D17"/>
    <mergeCell ref="A15:D15"/>
    <mergeCell ref="A21:D21"/>
    <mergeCell ref="A22:D25"/>
  </mergeCells>
</worksheet>
</file>

<file path=xl/worksheets/sheet4.xml><?xml version="1.0" encoding="utf-8"?>
<worksheet xmlns="http://schemas.openxmlformats.org/spreadsheetml/2006/main">
  <sheetPr codeName="埃米退转款列表">
    <tabColor/>
  </sheetPr>
  <dimension ref="G200"/>
  <sheetViews>
    <sheetView showGridLines="true" workbookViewId="0"/>
  </sheetViews>
  <sheetFormatPr baseColWidth="13" defaultRowHeight="18" customHeight="true"/>
  <cols>
    <col min="1" max="1" width="19.4219" customWidth="true"/>
    <col min="3" max="3" width="31.0234" customWidth="true"/>
    <col min="4" max="4" width="24.2812" customWidth="true"/>
    <col min="6" max="6" width="45.2031" customWidth="true"/>
    <col min="7" max="7" width="29.8125" customWidth="true"/>
    <col min="8" max="8" width="32.3711" customWidth="true"/>
  </cols>
  <sheetData>
    <row r="1" spans="1:26">
      <c r="A1" s="57" t="s">
        <v>526</v>
      </c>
      <c r="B1" s="57" t="s">
        <v>527</v>
      </c>
      <c r="C1" s="57" t="s">
        <v>208</v>
      </c>
      <c r="D1" s="57" t="s">
        <v>528</v>
      </c>
      <c r="E1" s="57" t="s">
        <v>529</v>
      </c>
      <c r="F1" s="57" t="s">
        <v>530</v>
      </c>
      <c r="G1" s="57" t="s">
        <v>531</v>
      </c>
      <c r="H1" s="58" t="s"/>
      <c r="I1" s="58" t="s"/>
      <c r="J1" s="58" t="s"/>
      <c r="K1" s="58" t="s"/>
      <c r="L1" s="58" t="s"/>
      <c r="M1" s="58" t="s"/>
      <c r="N1" s="58" t="s"/>
      <c r="O1" s="58" t="s"/>
      <c r="P1" s="58" t="s"/>
      <c r="Q1" s="58" t="s"/>
      <c r="R1" s="58" t="s"/>
      <c r="S1" s="58" t="s"/>
      <c r="T1" s="58" t="s"/>
      <c r="U1" s="58" t="s"/>
      <c r="V1" s="58" t="s"/>
      <c r="W1" s="58" t="s"/>
      <c r="X1" s="58" t="s"/>
      <c r="Y1" s="58" t="s"/>
      <c r="Z1" s="58" t="s"/>
    </row>
    <row r="2" spans="1:26" s="436" customFormat="true">
      <c r="A2" s="59">
        <v>46087.6069444444</v>
      </c>
      <c r="B2" s="60" t="s">
        <v>532</v>
      </c>
      <c r="C2" s="60" t="s">
        <v>51</v>
      </c>
      <c r="D2" s="60" t="s">
        <v>533</v>
      </c>
      <c r="E2" s="61" t="s">
        <v>534</v>
      </c>
      <c r="F2" s="62" t="s">
        <v>535</v>
      </c>
      <c r="G2" s="62" t="s">
        <v>536</v>
      </c>
      <c r="H2" s="63" t="s">
        <v>537</v>
      </c>
      <c r="I2" s="63" t="s"/>
      <c r="J2" s="63" t="s"/>
      <c r="K2" s="63" t="s"/>
      <c r="L2" s="63" t="s"/>
      <c r="M2" s="63" t="s"/>
      <c r="N2" s="63" t="s"/>
      <c r="O2" s="63" t="s"/>
      <c r="P2" s="63" t="s"/>
      <c r="Q2" s="63" t="s"/>
      <c r="R2" s="63" t="s"/>
      <c r="S2" s="63" t="s"/>
      <c r="T2" s="63" t="s"/>
      <c r="U2" s="63" t="s"/>
      <c r="V2" s="63" t="s"/>
      <c r="W2" s="63" t="s"/>
      <c r="X2" s="63" t="s"/>
      <c r="Y2" s="63" t="s"/>
      <c r="Z2" s="63" t="s"/>
    </row>
    <row r="3" spans="1:26" s="436" customFormat="true">
      <c r="A3" s="64">
        <v>46093.725</v>
      </c>
      <c r="B3" s="60" t="s">
        <v>532</v>
      </c>
      <c r="C3" s="62" t="s">
        <v>112</v>
      </c>
      <c r="D3" s="60" t="s">
        <v>538</v>
      </c>
      <c r="E3" s="61" t="s">
        <v>539</v>
      </c>
      <c r="F3" s="62" t="s">
        <v>540</v>
      </c>
      <c r="G3" s="60" t="s">
        <v>541</v>
      </c>
      <c r="H3" s="63" t="s"/>
      <c r="I3" s="63" t="s"/>
      <c r="J3" s="63" t="s"/>
      <c r="K3" s="63" t="s"/>
      <c r="L3" s="63" t="s"/>
      <c r="M3" s="63" t="s"/>
      <c r="N3" s="63" t="s"/>
      <c r="O3" s="63" t="s"/>
      <c r="P3" s="63" t="s"/>
      <c r="Q3" s="63" t="s"/>
      <c r="R3" s="63" t="s"/>
      <c r="S3" s="63" t="s"/>
      <c r="T3" s="63" t="s"/>
      <c r="U3" s="63" t="s"/>
      <c r="V3" s="63" t="s"/>
      <c r="W3" s="63" t="s"/>
      <c r="X3" s="63" t="s"/>
      <c r="Y3" s="63" t="s"/>
      <c r="Z3" s="63" t="s"/>
    </row>
    <row r="4" spans="1:26" s="436" customFormat="true">
      <c r="A4" s="59">
        <v>46100.6866319444</v>
      </c>
      <c r="B4" s="60" t="s">
        <v>542</v>
      </c>
      <c r="C4" s="60" t="s">
        <v>543</v>
      </c>
      <c r="D4" s="60" t="s">
        <v>544</v>
      </c>
      <c r="E4" s="61" t="s">
        <v>534</v>
      </c>
      <c r="F4" s="62" t="s">
        <v>545</v>
      </c>
      <c r="G4" s="60" t="s">
        <v>546</v>
      </c>
      <c r="H4" s="63" t="s"/>
      <c r="I4" s="63" t="s"/>
      <c r="J4" s="63" t="s"/>
      <c r="K4" s="63" t="s"/>
      <c r="L4" s="63" t="s"/>
      <c r="M4" s="63" t="s"/>
      <c r="N4" s="63" t="s"/>
      <c r="O4" s="63" t="s"/>
      <c r="P4" s="63" t="s"/>
      <c r="Q4" s="63" t="s"/>
      <c r="R4" s="63" t="s"/>
      <c r="S4" s="63" t="s"/>
      <c r="T4" s="63" t="s"/>
      <c r="U4" s="63" t="s"/>
      <c r="V4" s="63" t="s"/>
      <c r="W4" s="63" t="s"/>
      <c r="X4" s="63" t="s"/>
      <c r="Y4" s="63" t="s"/>
      <c r="Z4" s="63" t="s"/>
    </row>
    <row r="5" spans="1:26" s="436" customFormat="true">
      <c r="A5" s="59">
        <v>46099.7274189815</v>
      </c>
      <c r="B5" s="60" t="s">
        <v>532</v>
      </c>
      <c r="C5" s="60" t="s">
        <v>111</v>
      </c>
      <c r="D5" s="60" t="s">
        <v>547</v>
      </c>
      <c r="E5" s="61" t="s">
        <v>534</v>
      </c>
      <c r="F5" s="62" t="s">
        <v>548</v>
      </c>
      <c r="G5" s="60" t="s">
        <v>536</v>
      </c>
      <c r="H5" s="63" t="s"/>
      <c r="I5" s="63" t="s"/>
      <c r="J5" s="63" t="s"/>
      <c r="K5" s="63" t="s"/>
      <c r="L5" s="63" t="s"/>
      <c r="M5" s="63" t="s"/>
      <c r="N5" s="63" t="s"/>
      <c r="O5" s="63" t="s"/>
      <c r="P5" s="63" t="s"/>
      <c r="Q5" s="63" t="s"/>
      <c r="R5" s="63" t="s"/>
      <c r="S5" s="63" t="s"/>
      <c r="T5" s="63" t="s"/>
      <c r="U5" s="63" t="s"/>
      <c r="V5" s="63" t="s"/>
      <c r="W5" s="63" t="s"/>
      <c r="X5" s="63" t="s"/>
      <c r="Y5" s="63" t="s"/>
      <c r="Z5" s="63" t="s"/>
    </row>
    <row r="6" spans="1:7">
      <c r="A6" s="65">
        <v>46113.4439814815</v>
      </c>
      <c r="B6" t="s">
        <v>542</v>
      </c>
      <c r="C6" t="s">
        <v>549</v>
      </c>
      <c r="D6" t="s">
        <v>550</v>
      </c>
      <c r="E6" s="61" t="s">
        <v>534</v>
      </c>
      <c r="F6" t="s">
        <v>551</v>
      </c>
      <c r="G6" t="s">
        <v>546</v>
      </c>
    </row>
    <row r="7" spans="1:7">
      <c r="A7" s="65">
        <v>46115.9140277778</v>
      </c>
      <c r="B7" t="s">
        <v>542</v>
      </c>
      <c r="C7" t="s">
        <v>552</v>
      </c>
      <c r="D7" t="s">
        <v>553</v>
      </c>
      <c r="E7" s="61" t="s">
        <v>534</v>
      </c>
      <c r="F7" s="66" t="s">
        <v>554</v>
      </c>
      <c r="G7" t="s">
        <v>546</v>
      </c>
    </row>
    <row r="8" spans="1:7">
      <c r="A8" s="65">
        <v>46121.6884606482</v>
      </c>
      <c r="B8" t="s">
        <v>542</v>
      </c>
      <c r="C8" t="s">
        <v>291</v>
      </c>
      <c r="D8" t="s">
        <v>555</v>
      </c>
      <c r="E8" s="61" t="s">
        <v>534</v>
      </c>
      <c r="F8" s="66" t="s">
        <v>556</v>
      </c>
      <c r="G8" t="s">
        <v>546</v>
      </c>
    </row>
    <row r="9" spans="1:26"/>
    <row r="10" spans="1:26"/>
    <row r="11" spans="1:26"/>
    <row r="12" spans="1:26"/>
    <row r="13" spans="1:26"/>
    <row r="14" spans="1:26"/>
    <row r="15" spans="1:26"/>
    <row r="16" spans="1:26"/>
    <row r="17" spans="1:26"/>
    <row r="18" spans="1:26"/>
    <row r="19" spans="1:26"/>
    <row r="20" spans="1:26"/>
    <row r="21" spans="1:26"/>
    <row r="22" spans="1:26"/>
    <row r="23" spans="1:26"/>
    <row r="24" spans="1:26"/>
    <row r="25" spans="1:26"/>
    <row r="26" spans="1:26"/>
    <row r="27" spans="1:26"/>
    <row r="28" spans="1:26"/>
    <row r="29" spans="1:26"/>
    <row r="30" spans="1:26"/>
    <row r="31" spans="1:26"/>
    <row r="32" spans="1:26"/>
    <row r="33" spans="1:26"/>
    <row r="34" spans="1:26"/>
    <row r="35" spans="1:26"/>
    <row r="36" spans="1:26"/>
    <row r="37" spans="1:26"/>
    <row r="38" spans="1:26"/>
    <row r="39" spans="1:26"/>
    <row r="40" spans="1:26"/>
    <row r="41" spans="1:26"/>
    <row r="42" spans="1:26"/>
    <row r="43" spans="1:26"/>
    <row r="44" spans="1:26"/>
    <row r="45" spans="1:26"/>
    <row r="46" spans="1:26"/>
    <row r="47" spans="1:26"/>
    <row r="48" spans="1:26"/>
    <row r="49" spans="1:26"/>
    <row r="50" spans="1:26"/>
    <row r="51" spans="1:26"/>
    <row r="52" spans="1:26"/>
    <row r="53" spans="1:26"/>
    <row r="54" spans="1:26"/>
    <row r="55" spans="1:26"/>
    <row r="56" spans="1:26"/>
    <row r="57" spans="1:26"/>
    <row r="58" spans="1:26"/>
    <row r="59" spans="1:26"/>
    <row r="60" spans="1:26"/>
    <row r="61" spans="1:26"/>
    <row r="62" spans="1:26"/>
    <row r="63" spans="1:26"/>
    <row r="64" spans="1:26"/>
    <row r="65" spans="1:26"/>
    <row r="66" spans="1:26"/>
    <row r="67" spans="1:26"/>
    <row r="68" spans="1:26"/>
    <row r="69" spans="1:26"/>
    <row r="70" spans="1:26"/>
    <row r="71" spans="1:26"/>
    <row r="72" spans="1:26"/>
    <row r="73" spans="1:26"/>
    <row r="74" spans="1:26"/>
    <row r="75" spans="1:26"/>
    <row r="76" spans="1:26"/>
    <row r="77" spans="1:26"/>
    <row r="78" spans="1:26"/>
    <row r="79" spans="1:26"/>
    <row r="80" spans="1:26"/>
    <row r="81" spans="1:26"/>
    <row r="82" spans="1:26"/>
    <row r="83" spans="1:26"/>
    <row r="84" spans="1:26"/>
    <row r="85" spans="1:26"/>
    <row r="86" spans="1:26"/>
    <row r="87" spans="1:26"/>
    <row r="88" spans="1:26"/>
    <row r="89" spans="1:26"/>
    <row r="90" spans="1:26"/>
    <row r="91" spans="1:26"/>
    <row r="92" spans="1:26"/>
    <row r="93" spans="1:26"/>
    <row r="94" spans="1:26"/>
    <row r="95" spans="1:26"/>
    <row r="96" spans="1:26"/>
    <row r="97" spans="1:26"/>
    <row r="98" spans="1:26"/>
    <row r="99" spans="1:26"/>
    <row r="100" spans="1:26"/>
    <row r="101" spans="1:26"/>
    <row r="102" spans="1:26"/>
    <row r="103" spans="1:26"/>
    <row r="104" spans="1:26"/>
    <row r="105" spans="1:26"/>
    <row r="106" spans="1:26"/>
    <row r="107" spans="1:26"/>
    <row r="108" spans="1:26"/>
    <row r="109" spans="1:26"/>
    <row r="110" spans="1:26"/>
    <row r="111" spans="1:26"/>
    <row r="112" spans="1:26"/>
    <row r="113" spans="1:26"/>
    <row r="114" spans="1:26"/>
    <row r="115" spans="1:26"/>
    <row r="116" spans="1:26"/>
    <row r="117" spans="1:26"/>
    <row r="118" spans="1:26"/>
    <row r="119" spans="1:26"/>
    <row r="120" spans="1:26"/>
    <row r="121" spans="1:26"/>
    <row r="122" spans="1:26"/>
    <row r="123" spans="1:26"/>
    <row r="124" spans="1:26"/>
    <row r="125" spans="1:26"/>
    <row r="126" spans="1:26"/>
    <row r="127" spans="1:26"/>
    <row r="128" spans="1:26"/>
    <row r="129" spans="1:26"/>
    <row r="130" spans="1:26"/>
    <row r="131" spans="1:26"/>
    <row r="132" spans="1:26"/>
    <row r="133" spans="1:26"/>
    <row r="134" spans="1:26"/>
    <row r="135" spans="1:26"/>
    <row r="136" spans="1:26"/>
    <row r="137" spans="1:26"/>
    <row r="138" spans="1:26"/>
    <row r="139" spans="1:26"/>
    <row r="140" spans="1:26"/>
    <row r="141" spans="1:26"/>
    <row r="142" spans="1:26"/>
    <row r="143" spans="1:26"/>
    <row r="144" spans="1:26"/>
    <row r="145" spans="1:26"/>
    <row r="146" spans="1:26"/>
    <row r="147" spans="1:26"/>
    <row r="148" spans="1:26"/>
    <row r="149" spans="1:26"/>
    <row r="150" spans="1:26"/>
    <row r="151" spans="1:26"/>
    <row r="152" spans="1:26"/>
    <row r="153" spans="1:26"/>
    <row r="154" spans="1:26"/>
    <row r="155" spans="1:26"/>
    <row r="156" spans="1:26"/>
    <row r="157" spans="1:26"/>
    <row r="158" spans="1:26"/>
    <row r="159" spans="1:26"/>
    <row r="160" spans="1:26"/>
    <row r="161" spans="1:26"/>
    <row r="162" spans="1:26"/>
    <row r="163" spans="1:26"/>
    <row r="164" spans="1:26"/>
    <row r="165" spans="1:26"/>
    <row r="166" spans="1:26"/>
    <row r="167" spans="1:26"/>
    <row r="168" spans="1:26"/>
    <row r="169" spans="1:26"/>
    <row r="170" spans="1:26"/>
    <row r="171" spans="1:26"/>
    <row r="172" spans="1:26"/>
    <row r="173" spans="1:26"/>
    <row r="174" spans="1:26"/>
    <row r="175" spans="1:26"/>
    <row r="176" spans="1:26"/>
    <row r="177" spans="1:26"/>
    <row r="178" spans="1:26"/>
    <row r="179" spans="1:26"/>
    <row r="180" spans="1:26"/>
    <row r="181" spans="1:26"/>
    <row r="182" spans="1:26"/>
    <row r="183" spans="1:26"/>
    <row r="184" spans="1:26"/>
    <row r="185" spans="1:26"/>
    <row r="186" spans="1:26"/>
    <row r="187" spans="1:26"/>
    <row r="188" spans="1:26"/>
    <row r="189" spans="1:26"/>
    <row r="190" spans="1:26"/>
    <row r="191" spans="1:26"/>
    <row r="192" spans="1:26"/>
    <row r="193" spans="1:26"/>
    <row r="194" spans="1:26"/>
    <row r="195" spans="1:26"/>
    <row r="196" spans="1:26"/>
    <row r="197" spans="1:26"/>
    <row r="198" spans="1:26"/>
    <row r="199" spans="1:26"/>
    <row r="200" spans="1:26"/>
  </sheetData>
</worksheet>
</file>

<file path=xl/worksheets/sheet5.xml><?xml version="1.0" encoding="utf-8"?>
<worksheet xmlns:r="http://schemas.openxmlformats.org/officeDocument/2006/relationships" xmlns="http://schemas.openxmlformats.org/spreadsheetml/2006/main">
  <sheetPr codeName="服务进度表-交付实施">
    <tabColor rgb="FF99BEFF"/>
  </sheetPr>
  <dimension ref="Y191"/>
  <sheetViews>
    <sheetView showGridLines="false" workbookViewId="0">
      <pane xSplit="3" ySplit="1" topLeftCell="D2" state="frozen"/>
    </sheetView>
  </sheetViews>
  <sheetFormatPr baseColWidth="13" defaultRowHeight="18" customHeight="true"/>
  <cols>
    <col min="1" max="1" width="5.53125" style="10" customWidth="true"/>
    <col min="2" max="2" width="11.332" style="10" hidden="true" customWidth="true"/>
    <col min="3" max="3" width="31.9609" style="10" customWidth="true"/>
    <col min="4" max="4" width="19.9609" style="10" customWidth="true"/>
    <col min="5" max="5" width="12.2734" style="438" customWidth="true"/>
    <col min="6" max="6" width="26.4844" style="439" customWidth="true"/>
    <col min="7" max="7" width="10.6523" style="10" customWidth="true"/>
    <col min="8" max="8" width="8.36328" style="10" customWidth="true"/>
    <col min="9" max="9" width="42.2227" style="11" customWidth="true"/>
    <col min="10" max="10" width="13.8906" style="440" customWidth="true"/>
    <col min="11" max="12" width="17.1328" style="10" customWidth="true"/>
    <col min="13" max="13" width="21.9922" style="10" customWidth="true"/>
    <col min="14" max="14" width="17.1328" style="10" customWidth="true"/>
    <col min="15" max="16" width="13.8906" style="10" customWidth="true"/>
    <col min="17" max="17" width="36.1523" style="10" customWidth="true"/>
    <col min="18" max="18" width="13.6211" style="441" customWidth="true"/>
    <col min="19" max="19" width="42.1328" style="10" customWidth="true"/>
    <col min="20" max="20" width="15.2109" style="10" customWidth="true"/>
    <col min="21" max="21" width="20.8125" style="10" customWidth="true"/>
    <col min="22" max="22" width="9.98438" style="10" customWidth="true"/>
    <col min="23" max="23" width="5.93359" style="10" customWidth="true"/>
    <col min="24" max="24" width="12.2734" style="10" customWidth="true"/>
    <col min="25" max="25" width="9.30078" style="441" customWidth="true"/>
    <col min="26" max="26" width="4.8125" style="442" customWidth="true"/>
    <col min="27" max="27" width="4.8125" style="443" customWidth="true"/>
  </cols>
  <sheetData>
    <row r="1" spans="1:27" s="437" customFormat="true">
      <c r="A1" s="263" t="s">
        <v>1</v>
      </c>
      <c r="B1" s="264" t="s">
        <v>2</v>
      </c>
      <c r="C1" s="263" t="s">
        <v>1703</v>
      </c>
      <c r="D1" s="263" t="s">
        <v>1593</v>
      </c>
      <c r="E1" s="265" t="s">
        <v>1594</v>
      </c>
      <c r="F1" s="263" t="s">
        <v>1595</v>
      </c>
      <c r="G1" s="266" t="s">
        <v>1596</v>
      </c>
      <c r="H1" s="267" t="s">
        <v>1597</v>
      </c>
      <c r="I1" s="268" t="s">
        <v>602</v>
      </c>
      <c r="J1" s="269" t="s">
        <v>1707</v>
      </c>
      <c r="K1" s="270" t="s">
        <v>1708</v>
      </c>
      <c r="L1" s="270" t="s">
        <v>1709</v>
      </c>
      <c r="M1" s="270" t="s">
        <v>1710</v>
      </c>
      <c r="N1" s="270" t="s">
        <v>1711</v>
      </c>
      <c r="O1" s="271" t="s">
        <v>1598</v>
      </c>
      <c r="P1" s="270" t="s">
        <v>1599</v>
      </c>
      <c r="Q1" s="270" t="s">
        <v>602</v>
      </c>
      <c r="R1" s="272" t="s">
        <v>1600</v>
      </c>
      <c r="S1" s="273" t="s"/>
      <c r="T1" s="274" t="s"/>
      <c r="U1" s="274" t="s"/>
      <c r="V1" s="274" t="s"/>
      <c r="W1" s="274" t="s"/>
      <c r="X1" s="274" t="s"/>
      <c r="Y1" s="275" t="s"/>
      <c r="Z1" s="276" t="s"/>
      <c r="AA1" s="277" t="s"/>
    </row>
    <row r="2" spans="1:27">
      <c r="A2" s="278">
        <v>1</v>
      </c>
      <c r="B2" s="279">
        <f>=_xlfn.XLOOKUP(C2,总表!B:B,总表!A:A,无,0)</f>
        <v>1</v>
      </c>
      <c r="C2" s="280" t="s">
        <v>11</v>
      </c>
      <c r="D2" s="281" t="s">
        <f>=_xlfn.XLOOKUP(C2,总表!B:B,总表!J:J,无0)</f>
        <v>12</v>
      </c>
      <c r="E2" s="282">
        <f>=_xlfn.XLOOKUP(C2,总表!B:B,总表!L:L,无,0)</f>
        <v>46080</v>
      </c>
      <c r="F2" s="283" t="s">
        <f>=_xlfn.XLOOKUP(C2,总表!B:B,总表!M:M,无,0)</f>
        <v>610</v>
      </c>
      <c r="G2" s="284">
        <f>=_xlfn.XLOOKUP(C2,总表!B:B,总表!C:C,无,0)</f>
        <v>46077.4723495371</v>
      </c>
      <c r="H2" s="7" t="s">
        <f>=_xlfn.XLOOKUP(C2,总表!B:B,总表!F:F,无,0)</f>
        <v>236</v>
      </c>
      <c r="I2" s="285">
        <f>=_xlfn.XLOOKUP(C2,总表!B:B,总表!P:P,无,0)</f>
        <v>0</v>
      </c>
      <c r="J2" s="286">
        <v>46080</v>
      </c>
      <c r="K2" s="278" t="s">
        <v>567</v>
      </c>
      <c r="L2" s="7" t="s">
        <v>13</v>
      </c>
      <c r="M2" s="287">
        <v>46090</v>
      </c>
      <c r="N2" s="288" t="s">
        <v>611</v>
      </c>
      <c r="O2" s="288" t="s">
        <v>1601</v>
      </c>
      <c r="P2" s="288" t="s">
        <f>=IF(K2&lt;&gt;"",IF(ISBLANK(M2),IF(TODAY()-J2&gt;14,"超时","未超时"),IF(M2-J2&gt;14,"超时","未超时")),"")</f>
        <v>1601</v>
      </c>
      <c r="Q2" s="289" t="s"/>
      <c r="R2" s="290" t="s"/>
      <c r="S2" s="7" t="s"/>
      <c r="T2" s="7" t="s"/>
      <c r="U2" s="7" t="s"/>
      <c r="V2" s="7" t="s"/>
      <c r="W2" s="7" t="s"/>
      <c r="X2" s="7" t="s"/>
      <c r="Y2" s="290" t="s"/>
      <c r="Z2" s="8" t="s"/>
      <c r="AA2" s="291" t="s"/>
    </row>
    <row r="3" spans="1:27">
      <c r="A3" s="278">
        <v>2</v>
      </c>
      <c r="B3" s="279">
        <f>=_xlfn.XLOOKUP(C3,总表!B:B,总表!A:A,无,0)</f>
        <v>11</v>
      </c>
      <c r="C3" s="292" t="s">
        <v>14</v>
      </c>
      <c r="D3" s="281" t="s">
        <f>=_xlfn.XLOOKUP(C3,总表!B:B,总表!J:J,无0)</f>
        <v>15</v>
      </c>
      <c r="E3" s="282">
        <f>=_xlfn.XLOOKUP(C3,总表!B:B,总表!L:L,无,0)</f>
        <v>46080</v>
      </c>
      <c r="F3" s="283" t="s">
        <f>=_xlfn.XLOOKUP(C3,总表!B:B,总表!M:M,无,0)</f>
        <v>640</v>
      </c>
      <c r="G3" s="284">
        <f>=_xlfn.XLOOKUP(C3,总表!B:B,总表!C:C,无,0)</f>
        <v>46078.7286574074</v>
      </c>
      <c r="H3" s="7" t="s">
        <f>=_xlfn.XLOOKUP(C3,总表!B:B,总表!F:F,无,0)</f>
        <v>234</v>
      </c>
      <c r="I3" s="293">
        <f>=_xlfn.XLOOKUP(C3,总表!B:B,总表!P:P,无,0)</f>
        <v>0</v>
      </c>
      <c r="J3" s="286">
        <v>46080</v>
      </c>
      <c r="K3" s="278" t="s">
        <v>569</v>
      </c>
      <c r="L3" s="278" t="s">
        <v>16</v>
      </c>
      <c r="M3" s="287">
        <v>46090</v>
      </c>
      <c r="N3" s="288" t="s">
        <v>611</v>
      </c>
      <c r="O3" s="288" t="s"/>
      <c r="P3" s="288" t="s">
        <f>=IF(K3&lt;&gt;"",IF(ISBLANK(M3),IF(TODAY()-J3&gt;14,"超时","未超时"),IF(M3-J3&gt;14,"超时","未超时")),"")</f>
        <v>1601</v>
      </c>
      <c r="Q3" s="7" t="s"/>
      <c r="R3" s="290" t="s"/>
      <c r="S3" s="7" t="s"/>
      <c r="T3" s="7" t="s"/>
      <c r="U3" s="7" t="s"/>
      <c r="V3" s="7" t="s"/>
      <c r="W3" s="7" t="s"/>
      <c r="X3" s="7" t="s"/>
      <c r="Y3" s="290" t="s"/>
      <c r="Z3" s="294" t="s"/>
      <c r="AA3" s="295" t="s"/>
    </row>
    <row r="4" spans="1:27">
      <c r="A4" s="278">
        <v>3</v>
      </c>
      <c r="B4" s="279">
        <f>=_xlfn.XLOOKUP(C4,总表!B:B,总表!A:A,无,0)</f>
        <v>13</v>
      </c>
      <c r="C4" s="292" t="s">
        <v>17</v>
      </c>
      <c r="D4" s="281" t="s">
        <f>=_xlfn.XLOOKUP(C4,总表!B:B,总表!J:J,无0)</f>
        <v>12</v>
      </c>
      <c r="E4" s="282">
        <f>=_xlfn.XLOOKUP(C4,总表!B:B,总表!L:L,无,0)</f>
        <v>46079</v>
      </c>
      <c r="F4" s="283" t="s">
        <f>=_xlfn.XLOOKUP(C4,总表!B:B,总表!M:M,无,0)</f>
        <v>647</v>
      </c>
      <c r="G4" s="284">
        <f>=_xlfn.XLOOKUP(C4,总表!B:B,总表!C:C,无,0)</f>
        <v>46078.7225115741</v>
      </c>
      <c r="H4" s="7" t="s">
        <f>=_xlfn.XLOOKUP(C4,总表!B:B,总表!F:F,无,0)</f>
        <v>215</v>
      </c>
      <c r="I4" s="293">
        <f>=_xlfn.XLOOKUP(C4,总表!B:B,总表!P:P,无,0)</f>
        <v>0</v>
      </c>
      <c r="J4" s="286">
        <v>46080</v>
      </c>
      <c r="K4" s="278" t="s">
        <v>565</v>
      </c>
      <c r="L4" s="278" t="s">
        <v>18</v>
      </c>
      <c r="M4" s="287">
        <v>46084</v>
      </c>
      <c r="N4" s="288" t="s">
        <v>611</v>
      </c>
      <c r="O4" s="288" t="s"/>
      <c r="P4" s="288" t="s">
        <f>=IF(K4&lt;&gt;"",IF(ISBLANK(M4),IF(TODAY()-J4&gt;14,"超时","未超时"),IF(M4-J4&gt;14,"超时","未超时")),"")</f>
        <v>1601</v>
      </c>
      <c r="Q4" s="7" t="s"/>
      <c r="R4" s="290" t="s"/>
      <c r="S4" s="7" t="s"/>
      <c r="T4" s="7" t="s"/>
      <c r="U4" s="7" t="s"/>
      <c r="V4" s="296" t="s"/>
      <c r="W4" s="297" t="s"/>
      <c r="X4" s="7" t="s"/>
      <c r="Y4" s="298" t="s"/>
      <c r="Z4" s="294" t="s"/>
      <c r="AA4" s="295" t="s"/>
    </row>
    <row r="5" spans="1:27">
      <c r="A5" s="278">
        <v>4</v>
      </c>
      <c r="B5" s="279">
        <f>=_xlfn.XLOOKUP(C5,总表!B:B,总表!A:A,无,0)</f>
        <v>16</v>
      </c>
      <c r="C5" s="292" t="s">
        <v>19</v>
      </c>
      <c r="D5" s="281" t="s">
        <f>=_xlfn.XLOOKUP(C5,总表!B:B,总表!J:J,无0)</f>
        <v>12</v>
      </c>
      <c r="E5" s="282">
        <f>=_xlfn.XLOOKUP(C5,总表!B:B,总表!L:L,无,0)</f>
        <v>46080</v>
      </c>
      <c r="F5" s="283" t="s">
        <f>=_xlfn.XLOOKUP(C5,总表!B:B,总表!M:M,无,0)</f>
        <v>647</v>
      </c>
      <c r="G5" s="284">
        <f>=_xlfn.XLOOKUP(C5,总表!B:B,总表!C:C,无,0)</f>
        <v>46079.4400694445</v>
      </c>
      <c r="H5" s="7" t="s">
        <f>=_xlfn.XLOOKUP(C5,总表!B:B,总表!F:F,无,0)</f>
        <v>234</v>
      </c>
      <c r="I5" s="293">
        <f>=_xlfn.XLOOKUP(C5,总表!B:B,总表!P:P,无,0)</f>
        <v>0</v>
      </c>
      <c r="J5" s="286">
        <v>46080</v>
      </c>
      <c r="K5" s="278" t="s">
        <v>565</v>
      </c>
      <c r="L5" s="278" t="s">
        <v>18</v>
      </c>
      <c r="M5" s="287">
        <v>46086</v>
      </c>
      <c r="N5" s="288" t="s">
        <v>611</v>
      </c>
      <c r="O5" s="288" t="s"/>
      <c r="P5" s="288" t="s">
        <f>=IF(K5&lt;&gt;"",IF(ISBLANK(M5),IF(TODAY()-J5&gt;14,"超时","未超时"),IF(M5-J5&gt;14,"超时","未超时")),"")</f>
        <v>1601</v>
      </c>
      <c r="Q5" s="7" t="s"/>
      <c r="R5" s="290" t="s"/>
      <c r="S5" s="7" t="s"/>
      <c r="T5" s="7" t="s"/>
      <c r="U5" s="7" t="s"/>
      <c r="V5" s="296" t="s"/>
      <c r="W5" s="297" t="s"/>
      <c r="X5" s="7" t="s"/>
      <c r="Y5" s="298" t="s"/>
      <c r="Z5" s="294" t="s"/>
      <c r="AA5" s="295" t="s"/>
    </row>
    <row r="6" spans="1:27">
      <c r="A6" s="278">
        <v>5</v>
      </c>
      <c r="B6" s="279">
        <f>=_xlfn.XLOOKUP(C6,总表!B:B,总表!A:A,无,0)</f>
        <v>19</v>
      </c>
      <c r="C6" s="292" t="s">
        <v>20</v>
      </c>
      <c r="D6" s="281" t="s">
        <f>=_xlfn.XLOOKUP(C6,总表!B:B,总表!J:J,无0)</f>
        <v>12</v>
      </c>
      <c r="E6" s="282">
        <f>=_xlfn.XLOOKUP(C6,总表!B:B,总表!L:L,无,0)</f>
        <v>46080</v>
      </c>
      <c r="F6" s="283" t="s">
        <f>=_xlfn.XLOOKUP(C6,总表!B:B,总表!M:M,无,0)</f>
        <v>610</v>
      </c>
      <c r="G6" s="284">
        <f>=_xlfn.XLOOKUP(C6,总表!B:B,总表!C:C,无,0)</f>
        <v>46079.6421759259</v>
      </c>
      <c r="H6" s="7" t="s">
        <f>=_xlfn.XLOOKUP(C6,总表!B:B,总表!F:F,无,0)</f>
        <v>215</v>
      </c>
      <c r="I6" s="293">
        <f>=_xlfn.XLOOKUP(C6,总表!B:B,总表!P:P,无,0)</f>
        <v>0</v>
      </c>
      <c r="J6" s="286">
        <v>46080</v>
      </c>
      <c r="K6" s="278" t="s">
        <v>567</v>
      </c>
      <c r="L6" s="7" t="s">
        <v>13</v>
      </c>
      <c r="M6" s="287">
        <v>46091</v>
      </c>
      <c r="N6" s="288" t="s">
        <v>611</v>
      </c>
      <c r="O6" s="288" t="s"/>
      <c r="P6" s="288" t="s">
        <f>=IF(K6&lt;&gt;"",IF(ISBLANK(M6),IF(TODAY()-J6&gt;14,"超时","未超时"),IF(M6-J6&gt;14,"超时","未超时")),"")</f>
        <v>1601</v>
      </c>
      <c r="Q6" s="7" t="s"/>
      <c r="R6" s="290" t="s"/>
      <c r="S6" s="7" t="s"/>
      <c r="T6" s="7" t="s"/>
      <c r="U6" s="7" t="s"/>
      <c r="V6" s="296" t="s"/>
      <c r="W6" s="297" t="s"/>
      <c r="X6" s="7" t="s"/>
      <c r="Y6" s="298" t="s"/>
      <c r="Z6" s="294" t="s"/>
      <c r="AA6" s="295" t="s"/>
    </row>
    <row r="7" spans="1:27">
      <c r="A7" s="278">
        <v>6</v>
      </c>
      <c r="B7" s="279">
        <f>=_xlfn.XLOOKUP(C7,总表!B:B,总表!A:A,无,0)</f>
        <v>24</v>
      </c>
      <c r="C7" s="292" t="s">
        <v>21</v>
      </c>
      <c r="D7" s="281" t="s">
        <f>=_xlfn.XLOOKUP(C7,总表!B:B,总表!J:J,无0)</f>
        <v>12</v>
      </c>
      <c r="E7" s="282">
        <f>=_xlfn.XLOOKUP(C7,总表!B:B,总表!L:L,无,0)</f>
        <v>46080</v>
      </c>
      <c r="F7" s="283" t="s">
        <f>=_xlfn.XLOOKUP(C7,总表!B:B,总表!M:M,无,0)</f>
        <v>610</v>
      </c>
      <c r="G7" s="284">
        <f>=_xlfn.XLOOKUP(C7,总表!B:B,总表!C:C,无,0)</f>
        <v>46079.7792939815</v>
      </c>
      <c r="H7" s="7" t="s">
        <f>=_xlfn.XLOOKUP(C7,总表!B:B,总表!F:F,无,0)</f>
        <v>236</v>
      </c>
      <c r="I7" s="293" t="s"/>
      <c r="J7" s="286">
        <v>46083</v>
      </c>
      <c r="K7" s="278" t="s">
        <v>565</v>
      </c>
      <c r="L7" s="278" t="s">
        <v>18</v>
      </c>
      <c r="M7" s="287">
        <v>46085</v>
      </c>
      <c r="N7" s="288" t="s">
        <v>611</v>
      </c>
      <c r="O7" s="288" t="s"/>
      <c r="P7" s="288" t="s">
        <f>=IF(K7&lt;&gt;"",IF(ISBLANK(M7),IF(TODAY()-J7&gt;14,"超时","未超时"),IF(M7-J7&gt;14,"超时","未超时")),"")</f>
        <v>1601</v>
      </c>
      <c r="Q7" s="7" t="s"/>
      <c r="R7" s="290" t="s"/>
      <c r="S7" s="7" t="s"/>
      <c r="T7" s="7" t="s"/>
      <c r="U7" s="7" t="s"/>
      <c r="V7" s="296" t="s"/>
      <c r="W7" s="297" t="s"/>
      <c r="X7" s="7" t="s"/>
      <c r="Y7" s="298" t="s"/>
      <c r="Z7" s="294" t="s"/>
      <c r="AA7" s="295" t="s"/>
    </row>
    <row r="8" spans="1:27">
      <c r="A8" s="278">
        <v>7</v>
      </c>
      <c r="B8" s="279">
        <f>=_xlfn.XLOOKUP(C8,总表!B:B,总表!A:A,无,0)</f>
        <v>32</v>
      </c>
      <c r="C8" s="292" t="s">
        <v>22</v>
      </c>
      <c r="D8" s="299" t="s">
        <f>=_xlfn.XLOOKUP(C8,总表!B:B,总表!J:J,无0)</f>
        <v>15</v>
      </c>
      <c r="E8" s="282">
        <f>=_xlfn.XLOOKUP(C8,总表!B:B,总表!L:L,无,0)</f>
        <v>46083</v>
      </c>
      <c r="F8" s="283" t="s">
        <f>=_xlfn.XLOOKUP(C8,总表!B:B,总表!M:M,无,0)</f>
        <v>708</v>
      </c>
      <c r="G8" s="284">
        <f>=_xlfn.XLOOKUP(C8,总表!B:B,总表!C:C,无,0)</f>
        <v>46080.7762268519</v>
      </c>
      <c r="H8" s="7" t="s">
        <f>=_xlfn.XLOOKUP(C8,总表!B:B,总表!F:F,无,0)</f>
        <v>236</v>
      </c>
      <c r="I8" s="293">
        <f>=_xlfn.XLOOKUP(C8,总表!B:B,总表!P:P,无,0)</f>
        <v>0</v>
      </c>
      <c r="J8" s="209">
        <v>46084</v>
      </c>
      <c r="K8" s="7" t="s">
        <v>565</v>
      </c>
      <c r="L8" s="278" t="s">
        <v>23</v>
      </c>
      <c r="M8" s="287">
        <v>46091</v>
      </c>
      <c r="N8" s="300" t="s">
        <v>611</v>
      </c>
      <c r="O8" s="301" t="s"/>
      <c r="P8" s="300" t="s">
        <f>=IF(K8&lt;&gt;"",IF(ISBLANK(M8),IF(TODAY()-J8&gt;14,"超时","未超时"),IF(M8-J8&gt;14,"超时","未超时")),"")</f>
        <v>1601</v>
      </c>
      <c r="Q8" s="7" t="s"/>
      <c r="R8" s="290" t="s"/>
      <c r="S8" s="7" t="s"/>
      <c r="T8" s="7" t="s"/>
      <c r="U8" s="7" t="s"/>
      <c r="V8" s="296" t="s"/>
      <c r="W8" s="297" t="s"/>
      <c r="X8" s="7" t="s"/>
      <c r="Y8" s="298" t="s"/>
      <c r="Z8" s="294" t="s"/>
      <c r="AA8" s="295" t="s"/>
    </row>
    <row r="9" spans="1:25">
      <c r="A9" s="278">
        <v>8</v>
      </c>
      <c r="B9" s="279">
        <f>=_xlfn.XLOOKUP(C9,总表!B:B,总表!A:A,无,0)</f>
        <v>51</v>
      </c>
      <c r="C9" s="302" t="s">
        <v>24</v>
      </c>
      <c r="D9" s="281" t="s">
        <f>=_xlfn.XLOOKUP(C9,总表!B:B,总表!J:J,无0)</f>
        <v>12</v>
      </c>
      <c r="E9" s="282">
        <f>=_xlfn.XLOOKUP(C9,总表!B:B,总表!L:L,无,0)</f>
        <v>46083</v>
      </c>
      <c r="F9" s="283" t="s">
        <f>=_xlfn.XLOOKUP(C9,总表!B:B,总表!M:M,无,0)</f>
        <v>771</v>
      </c>
      <c r="G9" s="303">
        <f>=_xlfn.XLOOKUP(C9,总表!B:B,总表!C:C,无,0)</f>
        <v>46081.5269907408</v>
      </c>
      <c r="H9" s="7" t="s">
        <f>=_xlfn.XLOOKUP(C9,总表!B:B,总表!F:F,无,0)</f>
        <v>236</v>
      </c>
      <c r="I9" s="293">
        <f>=_xlfn.XLOOKUP(C9,总表!B:B,总表!P:P,无,0)</f>
        <v>0</v>
      </c>
      <c r="J9" s="209">
        <v>46084</v>
      </c>
      <c r="K9" s="7" t="s">
        <v>565</v>
      </c>
      <c r="L9" s="278" t="s">
        <v>18</v>
      </c>
      <c r="M9" s="287">
        <v>46087</v>
      </c>
      <c r="N9" s="300" t="s">
        <v>611</v>
      </c>
      <c r="O9" s="301" t="s"/>
      <c r="P9" s="300" t="s">
        <f>=IF(K9&lt;&gt;"",IF(ISBLANK(M9),IF(TODAY()-J9&gt;14,"超时","未超时"),IF(M9-J9&gt;14,"超时","未超时")),"")</f>
        <v>1601</v>
      </c>
      <c r="Q9" s="7" t="s"/>
      <c r="R9" s="290" t="s"/>
      <c r="S9" s="7" t="s"/>
      <c r="T9" s="7" t="s"/>
      <c r="U9" s="7" t="s"/>
      <c r="V9" s="7" t="s"/>
      <c r="W9" s="7" t="s"/>
      <c r="X9" s="7" t="s"/>
      <c r="Y9" s="290" t="s"/>
    </row>
    <row r="10" spans="1:25">
      <c r="A10" s="278">
        <v>9</v>
      </c>
      <c r="B10" s="279">
        <f>=_xlfn.XLOOKUP(C10,总表!B:B,总表!A:A,无,0)</f>
        <v>9</v>
      </c>
      <c r="C10" s="304" t="s">
        <v>25</v>
      </c>
      <c r="D10" s="305" t="s">
        <f>=_xlfn.XLOOKUP(C10,总表!B:B,总表!J:J,无0)</f>
        <v>12</v>
      </c>
      <c r="E10" s="282">
        <f>=_xlfn.XLOOKUP(C10,总表!B:B,总表!L:L,无,0)</f>
        <v>46091</v>
      </c>
      <c r="F10" s="283" t="s">
        <f>=_xlfn.XLOOKUP(C10,总表!B:B,总表!M:M,无,0)</f>
        <v>633</v>
      </c>
      <c r="G10" s="284">
        <f>=_xlfn.XLOOKUP(C10,总表!B:B,总表!C:C,无,0)</f>
        <v>46078.8791319445</v>
      </c>
      <c r="H10" s="7" t="s">
        <f>=_xlfn.XLOOKUP(C10,总表!B:B,总表!F:F,无,0)</f>
        <v>234</v>
      </c>
      <c r="I10" s="293">
        <f>=_xlfn.XLOOKUP(C10,总表!B:B,总表!P:P,无,0)</f>
        <v>0</v>
      </c>
      <c r="J10" s="209">
        <v>46091</v>
      </c>
      <c r="K10" s="7" t="s">
        <v>565</v>
      </c>
      <c r="L10" s="7" t="s">
        <v>26</v>
      </c>
      <c r="M10" s="287">
        <v>46101</v>
      </c>
      <c r="N10" s="300" t="s">
        <v>611</v>
      </c>
      <c r="O10" s="301" t="s"/>
      <c r="P10" s="300" t="s">
        <f>=IF(K10&lt;&gt;"",IF(ISBLANK(M10),IF(TODAY()-J10&gt;14,"超时","未超时"),IF(M10-J10&gt;14,"超时","未超时")),"")</f>
        <v>1601</v>
      </c>
      <c r="Q10" s="7" t="s"/>
      <c r="R10" s="290" t="s"/>
      <c r="S10" s="7" t="s"/>
      <c r="T10" s="7" t="s"/>
      <c r="U10" s="7" t="s"/>
      <c r="V10" s="7" t="s"/>
      <c r="W10" s="7" t="s"/>
      <c r="X10" s="7" t="s"/>
      <c r="Y10" s="290" t="s"/>
    </row>
    <row r="11" spans="1:25">
      <c r="A11" s="278">
        <v>10</v>
      </c>
      <c r="B11" s="279">
        <f>=_xlfn.XLOOKUP(C11,总表!B:B,总表!A:A,无,0)</f>
        <v>12</v>
      </c>
      <c r="C11" s="292" t="s">
        <v>27</v>
      </c>
      <c r="D11" s="305" t="s">
        <f>=_xlfn.XLOOKUP(C11,总表!B:B,总表!J:J,无0)</f>
        <v>12</v>
      </c>
      <c r="E11" s="282">
        <f>=_xlfn.XLOOKUP(C11,总表!B:B,总表!L:L,无,0)</f>
        <v>46097</v>
      </c>
      <c r="F11" s="283" t="s">
        <f>=_xlfn.XLOOKUP(C11,总表!B:B,总表!M:M,无,0)</f>
        <v>610</v>
      </c>
      <c r="G11" s="284">
        <f>=_xlfn.XLOOKUP(C11,总表!B:B,总表!C:C,无,0)</f>
        <v>46078.8131481482</v>
      </c>
      <c r="H11" s="7" t="s">
        <f>=_xlfn.XLOOKUP(C11,总表!B:B,总表!F:F,无,0)</f>
        <v>215</v>
      </c>
      <c r="I11" s="293">
        <f>=_xlfn.XLOOKUP(C11,总表!B:B,总表!P:P,无,0)</f>
        <v>0</v>
      </c>
      <c r="J11" s="209">
        <v>46098</v>
      </c>
      <c r="K11" s="7" t="s">
        <v>565</v>
      </c>
      <c r="L11" s="7" t="s">
        <v>18</v>
      </c>
      <c r="M11" s="287">
        <v>46112</v>
      </c>
      <c r="N11" s="300" t="s">
        <v>611</v>
      </c>
      <c r="O11" s="301" t="s"/>
      <c r="P11" s="300" t="s">
        <f>=IF(K11&lt;&gt;"",IF(ISBLANK(M11),IF(TODAY()-J11&gt;14,"超时","未超时"),IF(M11-J11&gt;14,"超时","未超时")),"")</f>
        <v>1601</v>
      </c>
      <c r="Q11" s="7" t="s"/>
      <c r="R11" s="290" t="s"/>
      <c r="S11" s="7" t="s"/>
      <c r="T11" s="7" t="s"/>
      <c r="U11" s="7" t="s"/>
      <c r="V11" s="7" t="s"/>
      <c r="W11" s="7" t="s"/>
      <c r="X11" s="7" t="s"/>
      <c r="Y11" s="290" t="s"/>
    </row>
    <row r="12" spans="1:25">
      <c r="A12" s="278">
        <v>11</v>
      </c>
      <c r="B12" s="279">
        <f>=_xlfn.XLOOKUP(C12,总表!B:B,总表!A:A,无,0)</f>
        <v>17</v>
      </c>
      <c r="C12" s="292" t="s">
        <v>28</v>
      </c>
      <c r="D12" s="281" t="s">
        <f>=_xlfn.XLOOKUP(C12,总表!B:B,总表!J:J,无0)</f>
        <v>12</v>
      </c>
      <c r="E12" s="282">
        <f>=_xlfn.XLOOKUP(C12,总表!B:B,总表!L:L,无,0)</f>
        <v>46105</v>
      </c>
      <c r="F12" s="283" t="s">
        <f>=_xlfn.XLOOKUP(C12,总表!B:B,总表!M:M,无,0)</f>
        <v>610</v>
      </c>
      <c r="G12" s="284">
        <f>=_xlfn.XLOOKUP(C12,总表!B:B,总表!C:C,无,0)</f>
        <v>46079.4806944445</v>
      </c>
      <c r="H12" s="7" t="s">
        <f>=_xlfn.XLOOKUP(C12,总表!B:B,总表!F:F,无,0)</f>
        <v>215</v>
      </c>
      <c r="I12" s="293" t="s">
        <v>1602</v>
      </c>
      <c r="J12" s="209">
        <v>46105</v>
      </c>
      <c r="K12" s="7" t="s">
        <v>565</v>
      </c>
      <c r="L12" s="7" t="s">
        <v>26</v>
      </c>
      <c r="M12" s="287">
        <v>46114</v>
      </c>
      <c r="N12" s="300" t="s">
        <v>611</v>
      </c>
      <c r="O12" s="301" t="s"/>
      <c r="P12" s="300" t="s">
        <f>=IF(K12&lt;&gt;"",IF(ISBLANK(M12),IF(TODAY()-J12&gt;14,"超时","未超时"),IF(M12-J12&gt;14,"超时","未超时")),"")</f>
        <v>1601</v>
      </c>
      <c r="Q12" s="7" t="s"/>
      <c r="R12" s="7" t="s"/>
      <c r="S12" s="306" t="s"/>
      <c r="T12" s="307" t="s"/>
      <c r="U12" s="307" t="s"/>
      <c r="V12" s="307" t="s"/>
      <c r="W12" s="307" t="s"/>
      <c r="X12" s="307" t="s"/>
      <c r="Y12" s="307" t="s"/>
    </row>
    <row r="13" spans="1:25">
      <c r="A13" s="278">
        <v>12</v>
      </c>
      <c r="B13" s="279">
        <f>=_xlfn.XLOOKUP(C13,总表!B:B,总表!A:A,无,0)</f>
        <v>25</v>
      </c>
      <c r="C13" s="292" t="s">
        <v>29</v>
      </c>
      <c r="D13" s="281" t="s">
        <f>=_xlfn.XLOOKUP(C13,总表!B:B,总表!J:J,无0)</f>
        <v>12</v>
      </c>
      <c r="E13" s="282">
        <f>=_xlfn.XLOOKUP(C13,总表!B:B,总表!L:L,无,0)</f>
        <v>46085</v>
      </c>
      <c r="F13" s="283" t="s">
        <f>=_xlfn.XLOOKUP(C13,总表!B:B,总表!M:M,无,0)</f>
        <v>610</v>
      </c>
      <c r="G13" s="284">
        <f>=_xlfn.XLOOKUP(C13,总表!B:B,总表!C:C,无,0)</f>
        <v>46079.8174074074</v>
      </c>
      <c r="H13" s="7" t="s">
        <f>=_xlfn.XLOOKUP(C13,总表!B:B,总表!F:F,无,0)</f>
        <v>236</v>
      </c>
      <c r="I13" s="293">
        <f>=_xlfn.XLOOKUP(C13,总表!B:B,总表!P:P,无,0)</f>
        <v>0</v>
      </c>
      <c r="J13" s="209">
        <v>46085</v>
      </c>
      <c r="K13" s="7" t="s">
        <v>565</v>
      </c>
      <c r="L13" s="7" t="s">
        <v>18</v>
      </c>
      <c r="M13" s="287">
        <v>46094</v>
      </c>
      <c r="N13" s="300" t="s">
        <v>611</v>
      </c>
      <c r="O13" s="301" t="s"/>
      <c r="P13" s="300" t="s">
        <f>=IF(K13&lt;&gt;"",IF(ISBLANK(M13),IF(TODAY()-J13&gt;14,"超时","未超时"),IF(M13-J13&gt;14,"超时","未超时")),"")</f>
        <v>1601</v>
      </c>
      <c r="Q13" s="7" t="s"/>
      <c r="R13" s="290" t="s"/>
      <c r="S13" s="7" t="s"/>
      <c r="T13" s="7" t="s"/>
      <c r="U13" s="7" t="s"/>
      <c r="V13" s="7" t="s"/>
      <c r="W13" s="7" t="s"/>
      <c r="X13" s="7" t="s"/>
      <c r="Y13" s="290" t="s"/>
    </row>
    <row r="14" spans="1:25">
      <c r="A14" s="278">
        <v>13</v>
      </c>
      <c r="B14" s="279">
        <f>=_xlfn.XLOOKUP(C14,总表!B:B,总表!A:A,无,0)</f>
        <v>31</v>
      </c>
      <c r="C14" s="292" t="s">
        <v>30</v>
      </c>
      <c r="D14" s="281" t="s">
        <f>=_xlfn.XLOOKUP(C14,总表!B:B,总表!J:J,无0)</f>
        <v>12</v>
      </c>
      <c r="E14" s="282">
        <f>=_xlfn.XLOOKUP(C14,总表!B:B,总表!L:L,无,0)</f>
        <v>46084</v>
      </c>
      <c r="F14" s="283" t="s">
        <f>=_xlfn.XLOOKUP(C14,总表!B:B,总表!M:M,无,0)</f>
        <v>705</v>
      </c>
      <c r="G14" s="284">
        <f>=_xlfn.XLOOKUP(C14,总表!B:B,总表!C:C,无,0)</f>
        <v>46080.6080671296</v>
      </c>
      <c r="H14" s="7" t="s">
        <f>=_xlfn.XLOOKUP(C14,总表!B:B,总表!F:F,无,0)</f>
        <v>224</v>
      </c>
      <c r="I14" s="293">
        <f>=_xlfn.XLOOKUP(C14,总表!B:B,总表!P:P,无,0)</f>
        <v>0</v>
      </c>
      <c r="J14" s="209">
        <v>46084</v>
      </c>
      <c r="K14" s="7" t="s">
        <v>565</v>
      </c>
      <c r="L14" s="7" t="s">
        <v>18</v>
      </c>
      <c r="M14" s="287">
        <v>46090</v>
      </c>
      <c r="N14" s="300" t="s">
        <v>611</v>
      </c>
      <c r="O14" s="301" t="s"/>
      <c r="P14" s="300" t="s">
        <f>=IF(K14&lt;&gt;"",IF(ISBLANK(M14),IF(TODAY()-J14&gt;14,"超时","未超时"),IF(M14-J14&gt;14,"超时","未超时")),"")</f>
        <v>1601</v>
      </c>
      <c r="Q14" s="7" t="s"/>
      <c r="R14" s="290" t="s"/>
      <c r="S14" s="7" t="s">
        <v>1603</v>
      </c>
      <c r="T14" s="7" t="s"/>
      <c r="U14" s="7" t="s"/>
      <c r="V14" s="7" t="s"/>
      <c r="W14" s="7" t="s"/>
      <c r="X14" s="7" t="s"/>
      <c r="Y14" s="290" t="s"/>
    </row>
    <row r="15" spans="1:25">
      <c r="A15" s="278">
        <v>14</v>
      </c>
      <c r="B15" s="279">
        <f>=_xlfn.XLOOKUP(C15,总表!B:B,总表!A:A,无,0)</f>
        <v>36</v>
      </c>
      <c r="C15" s="292" t="s">
        <v>31</v>
      </c>
      <c r="D15" s="281" t="s">
        <f>=_xlfn.XLOOKUP(C15,总表!B:B,总表!J:J,无0)</f>
        <v>15</v>
      </c>
      <c r="E15" s="282">
        <f>=_xlfn.XLOOKUP(C15,总表!B:B,总表!L:L,无,0)</f>
        <v>46085</v>
      </c>
      <c r="F15" s="283" t="s">
        <f>=_xlfn.XLOOKUP(C15,总表!B:B,总表!M:M,无,0)</f>
        <v>722</v>
      </c>
      <c r="G15" s="284">
        <f>=_xlfn.XLOOKUP(C15,总表!B:B,总表!C:C,无,0)</f>
        <v>46080.7491319444</v>
      </c>
      <c r="H15" s="7" t="s">
        <f>=_xlfn.XLOOKUP(C15,总表!B:B,总表!F:F,无,0)</f>
        <v>215</v>
      </c>
      <c r="I15" s="293">
        <f>=_xlfn.XLOOKUP(C15,总表!B:B,总表!P:P,无,0)</f>
        <v>0</v>
      </c>
      <c r="J15" s="209">
        <v>46085</v>
      </c>
      <c r="K15" s="7" t="s">
        <v>565</v>
      </c>
      <c r="L15" s="7" t="s">
        <v>32</v>
      </c>
      <c r="M15" s="287">
        <v>46093</v>
      </c>
      <c r="N15" s="300" t="s">
        <v>611</v>
      </c>
      <c r="O15" s="301" t="s"/>
      <c r="P15" s="300" t="s">
        <f>=IF(K15&lt;&gt;"",IF(ISBLANK(M15),IF(TODAY()-J15&gt;14,"超时","未超时"),IF(M15-J15&gt;14,"超时","未超时")),"")</f>
        <v>1601</v>
      </c>
      <c r="Q15" s="7" t="s">
        <v>1604</v>
      </c>
      <c r="R15" s="290" t="s"/>
      <c r="S15" s="7" t="s"/>
      <c r="T15" s="7" t="s"/>
      <c r="U15" s="7" t="s"/>
      <c r="V15" s="7" t="s"/>
      <c r="W15" s="7" t="s"/>
      <c r="X15" s="7" t="s"/>
      <c r="Y15" s="290" t="s"/>
    </row>
    <row r="16" spans="1:25">
      <c r="A16" s="278">
        <v>15</v>
      </c>
      <c r="B16" s="279">
        <f>=_xlfn.XLOOKUP(C16,总表!B:B,总表!A:A,无,0)</f>
        <v>39</v>
      </c>
      <c r="C16" s="292" t="s">
        <v>33</v>
      </c>
      <c r="D16" s="281" t="s">
        <f>=_xlfn.XLOOKUP(C16,总表!B:B,总表!J:J,无0)</f>
        <v>12</v>
      </c>
      <c r="E16" s="282">
        <f>=_xlfn.XLOOKUP(C16,总表!B:B,总表!L:L,无,0)</f>
        <v>46084</v>
      </c>
      <c r="F16" s="283" t="s">
        <f>=_xlfn.XLOOKUP(C16,总表!B:B,总表!M:M,无,0)</f>
        <v>735</v>
      </c>
      <c r="G16" s="284">
        <f>=_xlfn.XLOOKUP(C16,总表!B:B,总表!C:C,无,0)</f>
        <v>46081.4266435185</v>
      </c>
      <c r="H16" s="7" t="s">
        <f>=_xlfn.XLOOKUP(C16,总表!B:B,总表!F:F,无,0)</f>
        <v>236</v>
      </c>
      <c r="I16" s="293">
        <f>=_xlfn.XLOOKUP(C16,总表!B:B,总表!P:P,无,0)</f>
        <v>0</v>
      </c>
      <c r="J16" s="209">
        <v>46084</v>
      </c>
      <c r="K16" s="7" t="s">
        <v>565</v>
      </c>
      <c r="L16" s="7" t="s">
        <v>18</v>
      </c>
      <c r="M16" s="287">
        <v>46094</v>
      </c>
      <c r="N16" s="300" t="s">
        <v>611</v>
      </c>
      <c r="O16" s="301" t="s"/>
      <c r="P16" s="300" t="s">
        <f>=IF(K16&lt;&gt;"",IF(ISBLANK(M16),IF(TODAY()-J16&gt;14,"超时","未超时"),IF(M16-J16&gt;14,"超时","未超时")),"")</f>
        <v>1601</v>
      </c>
      <c r="Q16" s="7" t="s"/>
      <c r="R16" s="290" t="s"/>
      <c r="S16" s="7" t="s"/>
      <c r="T16" s="7" t="s"/>
      <c r="U16" s="7" t="s"/>
      <c r="V16" s="7" t="s"/>
      <c r="W16" s="7" t="s"/>
      <c r="X16" s="7" t="s"/>
      <c r="Y16" s="290" t="s"/>
    </row>
    <row r="17" spans="1:25">
      <c r="A17" s="278">
        <v>16</v>
      </c>
      <c r="B17" s="279">
        <f>=_xlfn.XLOOKUP(C17,总表!B:B,总表!A:A,无,0)</f>
        <v>42</v>
      </c>
      <c r="C17" s="292" t="s">
        <v>34</v>
      </c>
      <c r="D17" s="281" t="s">
        <f>=_xlfn.XLOOKUP(C17,总表!B:B,总表!J:J,无0)</f>
        <v>12</v>
      </c>
      <c r="E17" s="282">
        <f>=_xlfn.XLOOKUP(C17,总表!B:B,总表!L:L,无,0)</f>
        <v>46083</v>
      </c>
      <c r="F17" s="283" t="s">
        <f>=_xlfn.XLOOKUP(C17,总表!B:B,总表!M:M,无,0)</f>
        <v>747</v>
      </c>
      <c r="G17" s="284">
        <f>=_xlfn.XLOOKUP(C17,总表!B:B,总表!C:C,无,0)</f>
        <v>46080.7241782407</v>
      </c>
      <c r="H17" s="7" t="s">
        <f>=_xlfn.XLOOKUP(C17,总表!B:B,总表!F:F,无,0)</f>
        <v>224</v>
      </c>
      <c r="I17" s="293">
        <f>=_xlfn.XLOOKUP(C17,总表!B:B,总表!P:P,无,0)</f>
        <v>0</v>
      </c>
      <c r="J17" s="209">
        <v>46084</v>
      </c>
      <c r="K17" s="7" t="s">
        <v>565</v>
      </c>
      <c r="L17" s="7" t="s">
        <v>35</v>
      </c>
      <c r="M17" s="287">
        <v>46086</v>
      </c>
      <c r="N17" s="300" t="s">
        <v>611</v>
      </c>
      <c r="O17" s="301" t="s"/>
      <c r="P17" s="300" t="s">
        <f>=IF(K17&lt;&gt;"",IF(ISBLANK(M17),IF(TODAY()-J17&gt;14,"超时","未超时"),IF(M17-J17&gt;14,"超时","未超时")),"")</f>
        <v>1601</v>
      </c>
      <c r="Q17" s="7" t="s"/>
      <c r="R17" s="290" t="s"/>
      <c r="S17" s="7" t="s"/>
      <c r="T17" s="7" t="s"/>
      <c r="U17" s="7" t="s"/>
      <c r="V17" s="7" t="s"/>
      <c r="W17" s="7" t="s"/>
      <c r="X17" s="7" t="s"/>
      <c r="Y17" s="290" t="s"/>
    </row>
    <row r="18" spans="1:25">
      <c r="A18" s="278">
        <v>17</v>
      </c>
      <c r="B18" s="279">
        <f>=_xlfn.XLOOKUP(C18,总表!B:B,总表!A:A,无,0)</f>
        <v>43</v>
      </c>
      <c r="C18" s="292" t="s">
        <v>36</v>
      </c>
      <c r="D18" s="281" t="s">
        <f>=_xlfn.XLOOKUP(C18,总表!B:B,总表!J:J,无0)</f>
        <v>12</v>
      </c>
      <c r="E18" s="282">
        <f>=_xlfn.XLOOKUP(C18,总表!B:B,总表!L:L,无,0)</f>
        <v>46106</v>
      </c>
      <c r="F18" s="283" t="s">
        <f>=_xlfn.XLOOKUP(C18,总表!B:B,总表!M:M,无,0)</f>
        <v>750</v>
      </c>
      <c r="G18" s="284">
        <f>=_xlfn.XLOOKUP(C18,总表!B:B,总表!C:C,无,0)</f>
        <v>46080.6769444445</v>
      </c>
      <c r="H18" s="7" t="s">
        <f>=_xlfn.XLOOKUP(C18,总表!B:B,总表!F:F,无,0)</f>
        <v>215</v>
      </c>
      <c r="I18" s="293" t="s">
        <v>1605</v>
      </c>
      <c r="J18" s="209">
        <v>46107</v>
      </c>
      <c r="K18" s="7" t="s">
        <v>565</v>
      </c>
      <c r="L18" s="7" t="s">
        <v>26</v>
      </c>
      <c r="M18" s="287">
        <v>46120</v>
      </c>
      <c r="N18" s="300" t="s">
        <v>611</v>
      </c>
      <c r="O18" s="301" t="s"/>
      <c r="P18" s="300" t="s">
        <f>=IF(K18&lt;&gt;"",IF(ISBLANK(M18),IF(TODAY()-J18&gt;14,"超时","未超时"),IF(M18-J18&gt;14,"超时","未超时")),"")</f>
        <v>1601</v>
      </c>
      <c r="Q18" s="7" t="s"/>
      <c r="R18" s="7" t="s"/>
      <c r="S18" s="306" t="s"/>
      <c r="T18" s="307" t="s"/>
      <c r="U18" s="307" t="s"/>
      <c r="V18" s="307" t="s"/>
      <c r="W18" s="307" t="s"/>
      <c r="X18" s="307" t="s"/>
      <c r="Y18" s="307" t="s"/>
    </row>
    <row r="19" spans="1:25">
      <c r="A19" s="278">
        <v>18</v>
      </c>
      <c r="B19" s="279">
        <f>=_xlfn.XLOOKUP(C19,总表!B:B,总表!A:A,无,0)</f>
        <v>55</v>
      </c>
      <c r="C19" s="302" t="s">
        <v>37</v>
      </c>
      <c r="D19" s="281" t="s">
        <f>=_xlfn.XLOOKUP(C19,总表!B:B,总表!J:J,无0)</f>
        <v>12</v>
      </c>
      <c r="E19" s="282">
        <f>=_xlfn.XLOOKUP(C19,总表!B:B,总表!L:L,无,0)</f>
        <v>46093</v>
      </c>
      <c r="F19" s="283" t="s">
        <f>=_xlfn.XLOOKUP(C19,总表!B:B,总表!M:M,无,0)</f>
        <v>782</v>
      </c>
      <c r="G19" s="284">
        <f>=_xlfn.XLOOKUP(C19,总表!B:B,总表!C:C,无,0)</f>
        <v>46081.6634027778</v>
      </c>
      <c r="H19" s="7" t="s">
        <f>=_xlfn.XLOOKUP(C19,总表!B:B,总表!F:F,无,0)</f>
        <v>234</v>
      </c>
      <c r="I19" s="293">
        <f>=_xlfn.XLOOKUP(C19,总表!B:B,总表!P:P,无,0)</f>
        <v>0</v>
      </c>
      <c r="J19" s="286">
        <v>46093</v>
      </c>
      <c r="K19" s="7" t="s">
        <v>565</v>
      </c>
      <c r="L19" s="7" t="s">
        <v>26</v>
      </c>
      <c r="M19" s="287">
        <v>46099</v>
      </c>
      <c r="N19" s="300" t="s">
        <v>611</v>
      </c>
      <c r="O19" s="301" t="s"/>
      <c r="P19" s="300" t="s">
        <f>=IF(K19&lt;&gt;"",IF(ISBLANK(M19),IF(TODAY()-J19&gt;14,"超时","未超时"),IF(M19-J19&gt;14,"超时","未超时")),"")</f>
        <v>1601</v>
      </c>
      <c r="Q19" s="7" t="s"/>
      <c r="R19" s="290" t="s"/>
      <c r="S19" s="7" t="s"/>
      <c r="T19" s="7" t="s"/>
      <c r="U19" s="7" t="s"/>
      <c r="V19" s="7" t="s"/>
      <c r="W19" s="7" t="s"/>
      <c r="X19" s="7" t="s"/>
      <c r="Y19" s="290" t="s"/>
    </row>
    <row r="20" spans="1:25">
      <c r="A20" s="278">
        <v>19</v>
      </c>
      <c r="B20" s="279">
        <f>=_xlfn.XLOOKUP(C20,总表!B:B,总表!A:A,无,0)</f>
        <v>61</v>
      </c>
      <c r="C20" s="302" t="s">
        <v>38</v>
      </c>
      <c r="D20" s="281" t="s">
        <f>=_xlfn.XLOOKUP(C20,总表!B:B,总表!J:J,无0)</f>
        <v>15</v>
      </c>
      <c r="E20" s="282">
        <f>=_xlfn.XLOOKUP(C20,总表!B:B,总表!L:L,无,0)</f>
        <v>46083</v>
      </c>
      <c r="F20" s="283" t="s">
        <f>=_xlfn.XLOOKUP(C20,总表!B:B,总表!M:M,无,0)</f>
        <v>796</v>
      </c>
      <c r="G20" s="284">
        <f>=_xlfn.XLOOKUP(C20,总表!B:B,总表!C:C,无,0)</f>
        <v>46081.8639236111</v>
      </c>
      <c r="H20" s="7" t="s">
        <f>=_xlfn.XLOOKUP(C20,总表!B:B,总表!F:F,无,0)</f>
        <v>234</v>
      </c>
      <c r="I20" s="293">
        <f>=_xlfn.XLOOKUP(C20,总表!B:B,总表!P:P,无,0)</f>
        <v>0</v>
      </c>
      <c r="J20" s="209">
        <v>46084</v>
      </c>
      <c r="K20" s="7" t="s">
        <v>565</v>
      </c>
      <c r="L20" s="7" t="s">
        <v>39</v>
      </c>
      <c r="M20" s="287">
        <v>46091</v>
      </c>
      <c r="N20" s="300" t="s">
        <v>611</v>
      </c>
      <c r="O20" s="301" t="s"/>
      <c r="P20" s="300" t="s">
        <f>=IF(K20&lt;&gt;"",IF(ISBLANK(M20),IF(TODAY()-J20&gt;14,"超时","未超时"),IF(M20-J20&gt;14,"超时","未超时")),"")</f>
        <v>1601</v>
      </c>
      <c r="Q20" s="7" t="s"/>
      <c r="R20" s="290" t="s"/>
      <c r="S20" s="7" t="s"/>
      <c r="T20" s="7" t="s"/>
      <c r="U20" s="7" t="s"/>
      <c r="V20" s="7" t="s"/>
      <c r="W20" s="7" t="s"/>
      <c r="X20" s="7" t="s"/>
      <c r="Y20" s="290" t="s"/>
    </row>
    <row r="21" spans="1:25">
      <c r="A21" s="278">
        <v>20</v>
      </c>
      <c r="B21" s="279">
        <f>=_xlfn.XLOOKUP(C21,总表!B:B,总表!A:A,无,0)</f>
        <v>62</v>
      </c>
      <c r="C21" s="302" t="s">
        <v>40</v>
      </c>
      <c r="D21" s="281" t="s">
        <f>=_xlfn.XLOOKUP(C21,总表!B:B,总表!J:J,无0)</f>
        <v>12</v>
      </c>
      <c r="E21" s="282">
        <f>=_xlfn.XLOOKUP(C21,总表!B:B,总表!L:L,无,0)</f>
        <v>46087</v>
      </c>
      <c r="F21" s="283" t="s">
        <f>=_xlfn.XLOOKUP(C21,总表!B:B,总表!M:M,无,0)</f>
        <v>708</v>
      </c>
      <c r="G21" s="284">
        <f>=_xlfn.XLOOKUP(C21,总表!B:B,总表!C:C,无,0)</f>
        <v>46081.7726388889</v>
      </c>
      <c r="H21" s="7" t="s">
        <f>=_xlfn.XLOOKUP(C21,总表!B:B,总表!F:F,无,0)</f>
        <v>215</v>
      </c>
      <c r="I21" s="293" t="s">
        <v>1606</v>
      </c>
      <c r="J21" s="209">
        <v>46087</v>
      </c>
      <c r="K21" s="7" t="s">
        <v>565</v>
      </c>
      <c r="L21" s="308" t="s">
        <v>41</v>
      </c>
      <c r="M21" s="287">
        <v>46087</v>
      </c>
      <c r="N21" s="300" t="s">
        <v>611</v>
      </c>
      <c r="O21" s="301" t="s"/>
      <c r="P21" s="300" t="s">
        <f>=IF(K21&lt;&gt;"",IF(ISBLANK(M21),IF(TODAY()-J21&gt;14,"超时","未超时"),IF(M21-J21&gt;14,"超时","未超时")),"")</f>
        <v>1601</v>
      </c>
      <c r="Q21" s="7" t="s"/>
      <c r="R21" s="290" t="s"/>
      <c r="S21" s="7" t="s"/>
      <c r="T21" s="7" t="s"/>
      <c r="U21" s="7" t="s"/>
      <c r="V21" s="7" t="s"/>
      <c r="W21" s="7" t="s"/>
      <c r="X21" s="7" t="s"/>
      <c r="Y21" s="290" t="s"/>
    </row>
    <row r="22" spans="1:25">
      <c r="A22" s="278">
        <v>21</v>
      </c>
      <c r="B22" s="279">
        <f>=_xlfn.XLOOKUP(C22,总表!B:B,总表!A:A,无,0)</f>
        <v>63</v>
      </c>
      <c r="C22" s="292" t="s">
        <v>42</v>
      </c>
      <c r="D22" s="281" t="s">
        <f>=_xlfn.XLOOKUP(C22,总表!B:B,总表!J:J,无0)</f>
        <v>12</v>
      </c>
      <c r="E22" s="282">
        <f>=_xlfn.XLOOKUP(C22,总表!B:B,总表!L:L,无,0)</f>
        <v>0</v>
      </c>
      <c r="F22" s="283">
        <f>=_xlfn.XLOOKUP(C22,总表!B:B,总表!M:M,无,0)</f>
        <v>0</v>
      </c>
      <c r="G22" s="284">
        <f>=_xlfn.XLOOKUP(C22,总表!B:B,总表!C:C,无,0)</f>
        <v>46081.7900347222</v>
      </c>
      <c r="H22" s="7" t="s">
        <f>=_xlfn.XLOOKUP(C22,总表!B:B,总表!F:F,无,0)</f>
        <v>236</v>
      </c>
      <c r="I22" s="293" t="s">
        <v>1607</v>
      </c>
      <c r="J22" s="209" t="s"/>
      <c r="K22" s="7" t="s"/>
      <c r="L22" s="7" t="s"/>
      <c r="M22" s="287" t="s"/>
      <c r="N22" s="300" t="s"/>
      <c r="O22" s="301" t="s"/>
      <c r="P22" s="300" t="s">
        <f>=IF(K22&lt;&gt;"",IF(ISBLANK(M22),IF(TODAY()-J22&gt;14,"超时","未超时"),IF(M22-J22&gt;14,"超时","未超时")),"")</f>
      </c>
      <c r="Q22" s="7" t="s"/>
      <c r="R22" s="7" t="s"/>
      <c r="S22" s="306" t="s"/>
      <c r="T22" s="307" t="s"/>
      <c r="U22" s="307" t="s"/>
      <c r="V22" s="307" t="s"/>
      <c r="W22" s="307" t="s"/>
      <c r="X22" s="307" t="s"/>
      <c r="Y22" s="307" t="s"/>
    </row>
    <row r="23" spans="1:25">
      <c r="A23" s="278">
        <v>22</v>
      </c>
      <c r="B23" s="279">
        <f>=_xlfn.XLOOKUP(C23,总表!B:B,总表!A:A,无,0)</f>
        <v>67</v>
      </c>
      <c r="C23" s="292" t="s">
        <v>43</v>
      </c>
      <c r="D23" s="281" t="s">
        <f>=_xlfn.XLOOKUP(C23,总表!B:B,总表!J:J,无0)</f>
        <v>12</v>
      </c>
      <c r="E23" s="282">
        <f>=_xlfn.XLOOKUP(C23,总表!B:B,总表!L:L,无,0)</f>
        <v>46086</v>
      </c>
      <c r="F23" s="283" t="s">
        <f>=_xlfn.XLOOKUP(C23,总表!B:B,总表!M:M,无,0)</f>
        <v>810</v>
      </c>
      <c r="G23" s="284">
        <f>=_xlfn.XLOOKUP(C23,总表!B:B,总表!C:C,无,0)</f>
        <v>46083.6446875</v>
      </c>
      <c r="H23" s="7" t="s">
        <f>=_xlfn.XLOOKUP(C23,总表!B:B,总表!F:F,无,0)</f>
        <v>234</v>
      </c>
      <c r="I23" s="293">
        <f>=_xlfn.XLOOKUP(C23,总表!B:B,总表!P:P,无,0)</f>
        <v>0</v>
      </c>
      <c r="J23" s="209">
        <v>46086</v>
      </c>
      <c r="K23" s="7" t="s">
        <v>569</v>
      </c>
      <c r="L23" s="7" t="s">
        <v>44</v>
      </c>
      <c r="M23" s="287">
        <v>46100</v>
      </c>
      <c r="N23" s="300" t="s">
        <v>611</v>
      </c>
      <c r="O23" s="301" t="s"/>
      <c r="P23" s="300" t="s">
        <f>=IF(K23&lt;&gt;"",IF(ISBLANK(M23),IF(TODAY()-J23&gt;14,"超时","未超时"),IF(M23-J23&gt;14,"超时","未超时")),"")</f>
        <v>1601</v>
      </c>
      <c r="Q23" s="7" t="s"/>
      <c r="R23" s="290" t="s"/>
      <c r="S23" s="7" t="s"/>
      <c r="T23" s="7" t="s"/>
      <c r="U23" s="7" t="s"/>
      <c r="V23" s="7" t="s"/>
      <c r="W23" s="7" t="s"/>
      <c r="X23" s="7" t="s"/>
      <c r="Y23" s="290" t="s"/>
    </row>
    <row r="24" spans="1:25">
      <c r="A24" s="278">
        <v>23</v>
      </c>
      <c r="B24" s="278">
        <f>=_xlfn.XLOOKUP(C24,总表!B:B,总表!A:A,无,0)</f>
        <v>68</v>
      </c>
      <c r="C24" s="302" t="s">
        <v>45</v>
      </c>
      <c r="D24" s="281" t="s">
        <f>=_xlfn.XLOOKUP(C24,总表!B:B,总表!J:J,无0)</f>
        <v>12</v>
      </c>
      <c r="E24" s="282">
        <f>=_xlfn.XLOOKUP(C24,总表!B:B,总表!L:L,无,0)</f>
        <v>46084</v>
      </c>
      <c r="F24" s="283" t="s">
        <f>=_xlfn.XLOOKUP(C24,总表!B:B,总表!M:M,无,0)</f>
        <v>813</v>
      </c>
      <c r="G24" s="284">
        <f>=_xlfn.XLOOKUP(C24,总表!B:B,总表!C:C,无,0)</f>
        <v>46083.6867013889</v>
      </c>
      <c r="H24" s="7" t="s">
        <f>=_xlfn.XLOOKUP(C24,总表!B:B,总表!F:F,无,0)</f>
        <v>215</v>
      </c>
      <c r="I24" s="293">
        <f>=_xlfn.XLOOKUP(C24,总表!B:B,总表!P:P,无,0)</f>
        <v>0</v>
      </c>
      <c r="J24" s="209">
        <v>46084</v>
      </c>
      <c r="K24" s="7" t="s">
        <v>565</v>
      </c>
      <c r="L24" s="7" t="s">
        <v>35</v>
      </c>
      <c r="M24" s="287">
        <v>46086</v>
      </c>
      <c r="N24" s="300" t="s">
        <v>611</v>
      </c>
      <c r="O24" s="301" t="s"/>
      <c r="P24" s="300" t="s">
        <f>=IF(K24&lt;&gt;"",IF(ISBLANK(M24),IF(TODAY()-J24&gt;14,"超时","未超时"),IF(M24-J24&gt;14,"超时","未超时")),"")</f>
        <v>1601</v>
      </c>
      <c r="Q24" s="7" t="s"/>
      <c r="R24" s="290" t="s"/>
      <c r="S24" s="7" t="s"/>
      <c r="T24" s="7" t="s"/>
      <c r="U24" s="7" t="s"/>
      <c r="V24" s="7" t="s"/>
      <c r="W24" s="7" t="s"/>
      <c r="X24" s="7" t="s"/>
      <c r="Y24" s="290" t="s"/>
    </row>
    <row r="25" spans="1:25">
      <c r="A25" s="278">
        <v>24</v>
      </c>
      <c r="B25" s="279">
        <f>=_xlfn.XLOOKUP(C25,总表!B:B,总表!A:A,无,0)</f>
        <v>70</v>
      </c>
      <c r="C25" s="302" t="s">
        <v>46</v>
      </c>
      <c r="D25" s="281" t="s">
        <f>=_xlfn.XLOOKUP(C25,总表!B:B,总表!J:J,无0)</f>
        <v>12</v>
      </c>
      <c r="E25" s="282">
        <f>=_xlfn.XLOOKUP(C25,总表!B:B,总表!L:L,无,0)</f>
        <v>46111</v>
      </c>
      <c r="F25" s="283" t="s">
        <f>=_xlfn.XLOOKUP(C25,总表!B:B,总表!M:M,无,0)</f>
        <v>818</v>
      </c>
      <c r="G25" s="284">
        <f>=_xlfn.XLOOKUP(C25,总表!B:B,总表!C:C,无,0)</f>
        <v>46083.9112962962</v>
      </c>
      <c r="H25" s="7" t="s">
        <f>=_xlfn.XLOOKUP(C25,总表!B:B,总表!F:F,无,0)</f>
        <v>234</v>
      </c>
      <c r="I25" s="293" t="s">
        <f>=_xlfn.XLOOKUP(C25,总表!B:B,总表!P:P,无,0)</f>
        <v>819</v>
      </c>
      <c r="J25" s="209">
        <v>46111</v>
      </c>
      <c r="K25" s="7" t="s">
        <v>565</v>
      </c>
      <c r="L25" s="7" t="s">
        <v>26</v>
      </c>
      <c r="M25" s="287" t="s"/>
      <c r="N25" s="300" t="s">
        <v>1608</v>
      </c>
      <c r="O25" s="301" t="s"/>
      <c r="P25" s="300" t="s">
        <f>=IF(K25&lt;&gt;"",IF(ISBLANK(M25),IF(TODAY()-J25&gt;14,"超时","未超时"),IF(M25-J25&gt;14,"超时","未超时")),"")</f>
        <v>1609</v>
      </c>
      <c r="Q25" s="7" t="s"/>
      <c r="R25" s="7" t="s"/>
      <c r="S25" s="306" t="s"/>
      <c r="T25" s="307" t="s"/>
      <c r="U25" s="307" t="s"/>
      <c r="V25" s="307" t="s"/>
      <c r="W25" s="307" t="s"/>
      <c r="X25" s="307" t="s"/>
      <c r="Y25" s="307" t="s"/>
    </row>
    <row r="26" spans="1:25">
      <c r="A26" s="278">
        <v>25</v>
      </c>
      <c r="B26" s="279">
        <f>=_xlfn.XLOOKUP(C26,总表!B:B,总表!A:A,无,0)</f>
        <v>72</v>
      </c>
      <c r="C26" s="309" t="s">
        <v>47</v>
      </c>
      <c r="D26" s="281" t="s">
        <f>=_xlfn.XLOOKUP(C26,总表!B:B,总表!J:J,无0)</f>
        <v>12</v>
      </c>
      <c r="E26" s="282">
        <f>=_xlfn.XLOOKUP(C26,总表!B:B,总表!L:L,无,0)</f>
        <v>46086</v>
      </c>
      <c r="F26" s="283" t="s">
        <f>=_xlfn.XLOOKUP(C26,总表!B:B,总表!M:M,无,0)</f>
        <v>822</v>
      </c>
      <c r="G26" s="284">
        <f>=_xlfn.XLOOKUP(C26,总表!B:B,总表!C:C,无,0)</f>
        <v>46084.6029861111</v>
      </c>
      <c r="H26" s="7" t="s">
        <f>=_xlfn.XLOOKUP(C26,总表!B:B,总表!F:F,无,0)</f>
        <v>236</v>
      </c>
      <c r="I26" s="293">
        <f>=_xlfn.XLOOKUP(C26,总表!B:B,总表!P:P,无,0)</f>
        <v>0</v>
      </c>
      <c r="J26" s="209">
        <v>46087</v>
      </c>
      <c r="K26" s="7" t="s">
        <v>569</v>
      </c>
      <c r="L26" s="7" t="s">
        <v>48</v>
      </c>
      <c r="M26" s="287">
        <v>46104</v>
      </c>
      <c r="N26" s="300" t="s">
        <v>611</v>
      </c>
      <c r="O26" s="301" t="s"/>
      <c r="P26" s="300" t="s">
        <f>=IF(K26&lt;&gt;"",IF(ISBLANK(M26),IF(TODAY()-J26&gt;14,"超时","未超时"),IF(M26-J26&gt;14,"超时","未超时")),"")</f>
        <v>1609</v>
      </c>
      <c r="Q26" s="7" t="s">
        <v>1610</v>
      </c>
      <c r="R26" s="290" t="s"/>
      <c r="S26" s="7" t="s"/>
      <c r="T26" s="7" t="s"/>
      <c r="U26" s="7" t="s"/>
      <c r="V26" s="7" t="s"/>
      <c r="W26" s="7" t="s"/>
      <c r="X26" s="7" t="s"/>
      <c r="Y26" s="290" t="s"/>
    </row>
    <row r="27" spans="1:25">
      <c r="A27" s="278">
        <v>26</v>
      </c>
      <c r="B27" s="279">
        <f>=_xlfn.XLOOKUP(C27,总表!B:B,总表!A:A,无,0)</f>
        <v>80</v>
      </c>
      <c r="C27" s="310" t="s">
        <v>49</v>
      </c>
      <c r="D27" s="281" t="s">
        <f>=_xlfn.XLOOKUP(C27,总表!B:B,总表!J:J,无0)</f>
        <v>15</v>
      </c>
      <c r="E27" s="282">
        <f>=_xlfn.XLOOKUP(C27,总表!B:B,总表!L:L,无,0)</f>
        <v>46095</v>
      </c>
      <c r="F27" s="283" t="s">
        <f>=_xlfn.XLOOKUP(C27,总表!B:B,总表!M:M,无,0)</f>
        <v>610</v>
      </c>
      <c r="G27" s="284">
        <f>=_xlfn.XLOOKUP(C27,总表!B:B,总表!C:C,无,0)</f>
        <v>46084.7367592593</v>
      </c>
      <c r="H27" s="7" t="s">
        <f>=_xlfn.XLOOKUP(C27,总表!B:B,总表!F:F,无,0)</f>
        <v>215</v>
      </c>
      <c r="I27" s="279">
        <f>=_xlfn.XLOOKUP(C27,总表!B:B,总表!P:P,无,0)</f>
        <v>0</v>
      </c>
      <c r="J27" s="209">
        <v>46091</v>
      </c>
      <c r="K27" s="7" t="s">
        <v>565</v>
      </c>
      <c r="L27" s="7" t="s">
        <v>50</v>
      </c>
      <c r="M27" s="287">
        <v>46105</v>
      </c>
      <c r="N27" s="300" t="s">
        <v>611</v>
      </c>
      <c r="O27" s="301" t="s"/>
      <c r="P27" s="300" t="s">
        <f>=IF(K27&lt;&gt;"",IF(ISBLANK(M27),IF(TODAY()-J27&gt;14,"超时","未超时"),IF(M27-J27&gt;14,"超时","未超时")),"")</f>
        <v>1601</v>
      </c>
      <c r="Q27" s="7" t="s"/>
      <c r="R27" s="290" t="s"/>
      <c r="S27" s="7" t="s"/>
      <c r="T27" s="7" t="s"/>
      <c r="U27" s="7" t="s"/>
      <c r="V27" s="7" t="s"/>
      <c r="W27" s="7" t="s"/>
      <c r="X27" s="7" t="s"/>
      <c r="Y27" s="290" t="s"/>
    </row>
    <row r="28" spans="1:25">
      <c r="A28" s="278">
        <v>27</v>
      </c>
      <c r="B28" s="279">
        <f>=_xlfn.XLOOKUP(C28,总表!B:B,总表!A:A,无,0)</f>
        <v>81</v>
      </c>
      <c r="C28" s="311" t="s">
        <v>51</v>
      </c>
      <c r="D28" s="281" t="s">
        <f>=_xlfn.XLOOKUP(C28,总表!B:B,总表!J:J,无0)</f>
        <v>12</v>
      </c>
      <c r="E28" s="282">
        <f>=_xlfn.XLOOKUP(C28,总表!B:B,总表!L:L,无,0)</f>
        <v>46097</v>
      </c>
      <c r="F28" s="283" t="s">
        <f>=_xlfn.XLOOKUP(C28,总表!B:B,总表!M:M,无,0)</f>
        <v>841</v>
      </c>
      <c r="G28" s="284">
        <f>=_xlfn.XLOOKUP(C28,总表!B:B,总表!C:C,无,0)</f>
        <v>46090.7472106482</v>
      </c>
      <c r="H28" s="7" t="s">
        <f>=_xlfn.XLOOKUP(C28,总表!B:B,总表!F:F,无,0)</f>
        <v>234</v>
      </c>
      <c r="I28" s="279">
        <f>=_xlfn.XLOOKUP(C28,总表!B:B,总表!P:P,无,0)</f>
        <v>0</v>
      </c>
      <c r="J28" s="209">
        <v>46098</v>
      </c>
      <c r="K28" s="7" t="s">
        <v>565</v>
      </c>
      <c r="L28" s="7" t="s">
        <v>26</v>
      </c>
      <c r="M28" s="287">
        <v>46106</v>
      </c>
      <c r="N28" s="300" t="s">
        <v>611</v>
      </c>
      <c r="O28" s="301" t="s"/>
      <c r="P28" s="300" t="s">
        <f>=IF(K28&lt;&gt;"",IF(ISBLANK(M28),IF(TODAY()-J28&gt;14,"超时","未超时"),IF(M28-J28&gt;14,"超时","未超时")),"")</f>
        <v>1601</v>
      </c>
      <c r="Q28" s="7" t="s"/>
      <c r="R28" s="290" t="s"/>
      <c r="S28" s="7" t="s"/>
      <c r="T28" s="7" t="s"/>
      <c r="U28" s="7" t="s"/>
      <c r="V28" s="7" t="s"/>
      <c r="W28" s="7" t="s"/>
      <c r="X28" s="7" t="s"/>
      <c r="Y28" s="290" t="s"/>
    </row>
    <row r="29" spans="1:25">
      <c r="A29" s="278">
        <v>28</v>
      </c>
      <c r="B29" s="279">
        <f>=_xlfn.XLOOKUP(C29,总表!B:B,总表!A:A,无,0)</f>
        <v>82</v>
      </c>
      <c r="C29" s="311" t="s">
        <v>52</v>
      </c>
      <c r="D29" s="281" t="s">
        <f>=_xlfn.XLOOKUP(C29,总表!B:B,总表!J:J,无0)</f>
        <v>12</v>
      </c>
      <c r="E29" s="282">
        <f>=_xlfn.XLOOKUP(C29,总表!B:B,总表!L:L,无,0)</f>
        <v>46091</v>
      </c>
      <c r="F29" s="283" t="s">
        <f>=_xlfn.XLOOKUP(C29,总表!B:B,总表!M:M,无,0)</f>
        <v>633</v>
      </c>
      <c r="G29" s="284">
        <f>=_xlfn.XLOOKUP(C29,总表!B:B,总表!C:C,无,0)</f>
        <v>46084.7906712962</v>
      </c>
      <c r="H29" s="7" t="s">
        <f>=_xlfn.XLOOKUP(C29,总表!B:B,总表!F:F,无,0)</f>
        <v>236</v>
      </c>
      <c r="I29" s="293" t="s">
        <v>1611</v>
      </c>
      <c r="J29" s="209">
        <v>46100</v>
      </c>
      <c r="K29" s="7" t="s">
        <v>565</v>
      </c>
      <c r="L29" s="7" t="s">
        <v>26</v>
      </c>
      <c r="M29" s="287">
        <v>46111</v>
      </c>
      <c r="N29" s="300" t="s">
        <v>611</v>
      </c>
      <c r="O29" s="301" t="s"/>
      <c r="P29" s="300" t="s">
        <f>=IF(K29&lt;&gt;"",IF(ISBLANK(M29),IF(TODAY()-J29&gt;14,"超时","未超时"),IF(M29-J29&gt;14,"超时","未超时")),"")</f>
        <v>1601</v>
      </c>
      <c r="Q29" s="7" t="s"/>
      <c r="R29" s="290" t="s"/>
      <c r="S29" s="7" t="s"/>
      <c r="T29" s="7" t="s"/>
      <c r="U29" s="7" t="s"/>
      <c r="V29" s="7" t="s"/>
      <c r="W29" s="7" t="s"/>
      <c r="X29" s="7" t="s"/>
      <c r="Y29" s="290" t="s"/>
    </row>
    <row r="30" spans="1:25">
      <c r="A30" s="278">
        <v>29</v>
      </c>
      <c r="B30" s="279">
        <f>=_xlfn.XLOOKUP(C30,总表!B:B,总表!A:A,无,0)</f>
        <v>83</v>
      </c>
      <c r="C30" s="312" t="s">
        <v>53</v>
      </c>
      <c r="D30" s="281" t="s">
        <f>=_xlfn.XLOOKUP(C30,总表!B:B,总表!J:J,无0)</f>
        <v>15</v>
      </c>
      <c r="E30" s="282">
        <f>=_xlfn.XLOOKUP(C30,总表!B:B,总表!L:L,无,0)</f>
        <v>46085</v>
      </c>
      <c r="F30" s="283" t="s">
        <f>=_xlfn.XLOOKUP(C30,总表!B:B,总表!M:M,无,0)</f>
        <v>847</v>
      </c>
      <c r="G30" s="284">
        <f>=_xlfn.XLOOKUP(C30,总表!B:B,总表!C:C,无,0)</f>
        <v>46084.5053009259</v>
      </c>
      <c r="H30" s="7" t="s">
        <f>=_xlfn.XLOOKUP(C30,总表!B:B,总表!F:F,无,0)</f>
        <v>236</v>
      </c>
      <c r="I30" s="279" t="s">
        <f>=_xlfn.XLOOKUP(C30,总表!B:B,总表!P:P,无,0)</f>
        <v>849</v>
      </c>
      <c r="J30" s="209">
        <v>46085</v>
      </c>
      <c r="K30" s="7" t="s">
        <v>569</v>
      </c>
      <c r="L30" s="7" t="s">
        <v>54</v>
      </c>
      <c r="M30" s="287">
        <v>46097</v>
      </c>
      <c r="N30" s="300" t="s">
        <v>611</v>
      </c>
      <c r="O30" s="301" t="s"/>
      <c r="P30" s="300" t="s">
        <f>=IF(K30&lt;&gt;"",IF(ISBLANK(M30),IF(TODAY()-J30&gt;14,"超时","未超时"),IF(M30-J30&gt;14,"超时","未超时")),"")</f>
        <v>1601</v>
      </c>
      <c r="Q30" s="7" t="s"/>
      <c r="R30" s="290" t="s"/>
      <c r="S30" s="7" t="s"/>
      <c r="T30" s="7" t="s"/>
      <c r="U30" s="7" t="s"/>
      <c r="V30" s="7" t="s"/>
      <c r="W30" s="7" t="s"/>
      <c r="X30" s="7" t="s"/>
      <c r="Y30" s="290" t="s"/>
    </row>
    <row r="31" spans="1:25">
      <c r="A31" s="278">
        <v>30</v>
      </c>
      <c r="B31" s="279">
        <f>=_xlfn.XLOOKUP(C31,总表!B:B,总表!A:A,无,0)</f>
        <v>87</v>
      </c>
      <c r="C31" s="312" t="s">
        <v>55</v>
      </c>
      <c r="D31" s="281" t="s">
        <f>=_xlfn.XLOOKUP(C31,总表!B:B,总表!J:J,无0)</f>
        <v>15</v>
      </c>
      <c r="E31" s="313">
        <f>=_xlfn.XLOOKUP(C31,总表!B:B,总表!L:L,无,0)</f>
        <v>46086</v>
      </c>
      <c r="F31" s="283" t="s">
        <f>=_xlfn.XLOOKUP(C31,总表!B:B,总表!M:M,无,0)</f>
        <v>610</v>
      </c>
      <c r="G31" s="284">
        <f>=_xlfn.XLOOKUP(C31,总表!B:B,总表!C:C,无,0)</f>
        <v>46085.6741550926</v>
      </c>
      <c r="H31" s="7" t="s">
        <f>=_xlfn.XLOOKUP(C31,总表!B:B,总表!F:F,无,0)</f>
        <v>215</v>
      </c>
      <c r="I31" s="279" t="s"/>
      <c r="J31" s="209">
        <v>46086</v>
      </c>
      <c r="K31" s="7" t="s">
        <v>569</v>
      </c>
      <c r="L31" s="7" t="s">
        <v>56</v>
      </c>
      <c r="M31" s="287">
        <v>46092</v>
      </c>
      <c r="N31" s="300" t="s">
        <v>611</v>
      </c>
      <c r="O31" s="301" t="s"/>
      <c r="P31" s="300" t="s">
        <f>=IF(K31&lt;&gt;"",IF(ISBLANK(M31),IF(TODAY()-J31&gt;14,"超时","未超时"),IF(M31-J31&gt;14,"超时","未超时")),"")</f>
        <v>1601</v>
      </c>
      <c r="Q31" s="7" t="s"/>
      <c r="R31" s="290" t="s"/>
      <c r="S31" s="7" t="s"/>
      <c r="T31" s="7" t="s"/>
      <c r="U31" s="7" t="s"/>
      <c r="V31" s="7" t="s"/>
      <c r="W31" s="7" t="s"/>
      <c r="X31" s="7" t="s"/>
      <c r="Y31" s="290" t="s"/>
    </row>
    <row r="32" spans="1:25">
      <c r="A32" s="278">
        <v>31</v>
      </c>
      <c r="B32" s="279">
        <f>=_xlfn.XLOOKUP(C32,总表!B:B,总表!A:A,无,0)</f>
        <v>96</v>
      </c>
      <c r="C32" s="311" t="s">
        <v>57</v>
      </c>
      <c r="D32" s="281" t="s">
        <f>=_xlfn.XLOOKUP(C32,总表!B:B,总表!J:J,无0)</f>
        <v>12</v>
      </c>
      <c r="E32" s="282">
        <f>=_xlfn.XLOOKUP(C32,总表!B:B,总表!L:L,无,0)</f>
        <v>46087</v>
      </c>
      <c r="F32" s="314" t="s">
        <f>=_xlfn.XLOOKUP(C32,总表!B:B,总表!M:M,无,0)</f>
        <v>884</v>
      </c>
      <c r="G32" s="284">
        <f>=_xlfn.XLOOKUP(C32,总表!B:B,总表!C:C,无,0)</f>
        <v>46086.6542708333</v>
      </c>
      <c r="H32" s="7" t="s">
        <f>=_xlfn.XLOOKUP(C32,总表!B:B,总表!F:F,无,0)</f>
        <v>234</v>
      </c>
      <c r="I32" s="279">
        <f>=_xlfn.XLOOKUP(C32,总表!B:B,总表!P:P,无,0)</f>
        <v>0</v>
      </c>
      <c r="J32" s="209">
        <v>46087</v>
      </c>
      <c r="K32" s="7" t="s">
        <v>565</v>
      </c>
      <c r="L32" s="7" t="s">
        <v>18</v>
      </c>
      <c r="M32" s="287">
        <v>46093</v>
      </c>
      <c r="N32" s="300" t="s">
        <v>611</v>
      </c>
      <c r="O32" s="315" t="s"/>
      <c r="P32" s="316" t="s">
        <f>=IF(K32&lt;&gt;"",IF(ISBLANK(M32),IF(TODAY()-J32&gt;14,"超时","未超时"),IF(M32-J32&gt;14,"超时","未超时")),"")</f>
        <v>1601</v>
      </c>
      <c r="Q32" s="7" t="s"/>
      <c r="R32" s="290" t="s"/>
      <c r="S32" s="7" t="s"/>
      <c r="T32" s="7" t="s"/>
      <c r="U32" s="7" t="s"/>
      <c r="V32" s="7" t="s"/>
      <c r="W32" s="7" t="s"/>
      <c r="X32" s="7" t="s"/>
      <c r="Y32" s="290" t="s"/>
    </row>
    <row r="33" spans="1:25">
      <c r="A33" s="278">
        <v>32</v>
      </c>
      <c r="B33" s="279">
        <f>=_xlfn.XLOOKUP(C33,总表!B:B,总表!A:A,无,0)</f>
        <v>100</v>
      </c>
      <c r="C33" s="317" t="s">
        <v>58</v>
      </c>
      <c r="D33" s="281" t="s">
        <f>=_xlfn.XLOOKUP(C33,总表!B:B,总表!J:J,无0)</f>
        <v>12</v>
      </c>
      <c r="E33" s="282">
        <f>=_xlfn.XLOOKUP(C33,总表!B:B,总表!L:L,无,0)</f>
        <v>46087</v>
      </c>
      <c r="F33" s="314" t="s">
        <f>=_xlfn.XLOOKUP(C33,总表!B:B,总表!M:M,无,0)</f>
        <v>894</v>
      </c>
      <c r="G33" s="284">
        <f>=_xlfn.XLOOKUP(C33,总表!B:B,总表!C:C,无,0)</f>
        <v>46086.7455439815</v>
      </c>
      <c r="H33" s="7" t="s">
        <f>=_xlfn.XLOOKUP(C33,总表!B:B,总表!F:F,无,0)</f>
        <v>234</v>
      </c>
      <c r="I33" s="279">
        <f>=_xlfn.XLOOKUP(C33,总表!B:B,总表!P:P,无,0)</f>
        <v>0</v>
      </c>
      <c r="J33" s="209">
        <v>46087</v>
      </c>
      <c r="K33" s="7" t="s">
        <v>565</v>
      </c>
      <c r="L33" s="7" t="s">
        <v>18</v>
      </c>
      <c r="M33" s="287">
        <v>46094</v>
      </c>
      <c r="N33" s="300" t="s">
        <v>611</v>
      </c>
      <c r="O33" s="315" t="s"/>
      <c r="P33" s="316" t="s">
        <f>=IF(K33&lt;&gt;"",IF(ISBLANK(M33),IF(TODAY()-J33&gt;14,"超时","未超时"),IF(M33-J33&gt;14,"超时","未超时")),"")</f>
        <v>1601</v>
      </c>
      <c r="Q33" s="7" t="s"/>
      <c r="R33" s="290" t="s"/>
      <c r="S33" s="7" t="s"/>
      <c r="T33" s="7" t="s"/>
      <c r="U33" s="7" t="s"/>
      <c r="V33" s="7" t="s"/>
      <c r="W33" s="7" t="s"/>
      <c r="X33" s="7" t="s"/>
      <c r="Y33" s="290" t="s"/>
    </row>
    <row r="34" spans="1:25">
      <c r="A34" s="278">
        <v>33</v>
      </c>
      <c r="B34" s="279">
        <f>=_xlfn.XLOOKUP(C34,总表!B:B,总表!A:A,无,0)</f>
        <v>101</v>
      </c>
      <c r="C34" s="318" t="s">
        <v>59</v>
      </c>
      <c r="D34" s="281" t="s">
        <f>=_xlfn.XLOOKUP(C34,总表!B:B,总表!J:J,无0)</f>
        <v>12</v>
      </c>
      <c r="E34" s="282">
        <f>=_xlfn.XLOOKUP(C34,总表!B:B,总表!L:L,无,0)</f>
        <v>46092</v>
      </c>
      <c r="F34" s="314" t="s">
        <f>=_xlfn.XLOOKUP(C34,总表!B:B,总表!M:M,无,0)</f>
        <v>705</v>
      </c>
      <c r="G34" s="284">
        <f>=_xlfn.XLOOKUP(C34,总表!B:B,总表!C:C,无,0)</f>
        <v>46086.7495023148</v>
      </c>
      <c r="H34" s="7" t="s">
        <f>=_xlfn.XLOOKUP(C34,总表!B:B,总表!F:F,无,0)</f>
        <v>215</v>
      </c>
      <c r="I34" s="279">
        <f>=_xlfn.XLOOKUP(C34,总表!B:B,总表!P:P,无,0)</f>
        <v>0</v>
      </c>
      <c r="J34" s="209">
        <v>46093</v>
      </c>
      <c r="K34" s="7" t="s">
        <v>565</v>
      </c>
      <c r="L34" s="7" t="s">
        <v>18</v>
      </c>
      <c r="M34" s="287">
        <v>46097</v>
      </c>
      <c r="N34" s="300" t="s">
        <v>611</v>
      </c>
      <c r="O34" s="315" t="s"/>
      <c r="P34" s="316" t="s">
        <f>=IF(K34&lt;&gt;"",IF(ISBLANK(M34),IF(TODAY()-J34&gt;14,"超时","未超时"),IF(M34-J34&gt;14,"超时","未超时")),"")</f>
        <v>1601</v>
      </c>
      <c r="Q34" s="7" t="s"/>
      <c r="R34" s="290" t="s"/>
      <c r="S34" s="7" t="s"/>
      <c r="T34" s="7" t="s"/>
      <c r="U34" s="7" t="s"/>
      <c r="V34" s="7" t="s"/>
      <c r="W34" s="7" t="s"/>
      <c r="X34" s="7" t="s"/>
      <c r="Y34" s="290" t="s"/>
    </row>
    <row r="35" spans="1:25">
      <c r="A35" s="278">
        <v>34</v>
      </c>
      <c r="B35" s="279">
        <f>=_xlfn.XLOOKUP(C35,总表!B:B,总表!A:A,无,0)</f>
        <v>103</v>
      </c>
      <c r="C35" s="318" t="s">
        <v>60</v>
      </c>
      <c r="D35" s="281" t="s">
        <f>=_xlfn.XLOOKUP(C35,总表!B:B,总表!J:J,无0)</f>
        <v>12</v>
      </c>
      <c r="E35" s="282">
        <f>=_xlfn.XLOOKUP(C35,总表!B:B,总表!L:L,无,0)</f>
        <v>46086</v>
      </c>
      <c r="F35" s="314" t="s">
        <f>=_xlfn.XLOOKUP(C35,总表!B:B,总表!M:M,无,0)</f>
        <v>901</v>
      </c>
      <c r="G35" s="284">
        <f>=_xlfn.XLOOKUP(C35,总表!B:B,总表!C:C,无,0)</f>
        <v>46086.7344444444</v>
      </c>
      <c r="H35" s="7" t="s">
        <f>=_xlfn.XLOOKUP(C35,总表!B:B,总表!F:F,无,0)</f>
        <v>215</v>
      </c>
      <c r="I35" s="279">
        <f>=_xlfn.XLOOKUP(C35,总表!B:B,总表!P:P,无,0)</f>
        <v>0</v>
      </c>
      <c r="J35" s="209">
        <v>46087</v>
      </c>
      <c r="K35" s="7" t="s">
        <v>565</v>
      </c>
      <c r="L35" s="7" t="s">
        <v>18</v>
      </c>
      <c r="M35" s="287">
        <v>46097</v>
      </c>
      <c r="N35" s="300" t="s">
        <v>611</v>
      </c>
      <c r="O35" s="315" t="s"/>
      <c r="P35" s="316" t="s">
        <f>=IF(K35&lt;&gt;"",IF(ISBLANK(M35),IF(TODAY()-J35&gt;14,"超时","未超时"),IF(M35-J35&gt;14,"超时","未超时")),"")</f>
        <v>1601</v>
      </c>
      <c r="Q35" s="7" t="s"/>
      <c r="R35" s="290" t="s"/>
      <c r="S35" s="7" t="s"/>
      <c r="T35" s="7" t="s"/>
      <c r="U35" s="7" t="s"/>
      <c r="V35" s="7" t="s"/>
      <c r="W35" s="7" t="s"/>
      <c r="X35" s="7" t="s"/>
      <c r="Y35" s="290" t="s"/>
    </row>
    <row r="36" spans="1:25">
      <c r="A36" s="278">
        <v>35</v>
      </c>
      <c r="B36" s="279">
        <f>=_xlfn.XLOOKUP(C36,总表!B:B,总表!A:A,无,0)</f>
        <v>108</v>
      </c>
      <c r="C36" s="311" t="s">
        <v>61</v>
      </c>
      <c r="D36" s="281" t="s">
        <f>=_xlfn.XLOOKUP(C36,总表!B:B,总表!J:J,无0)</f>
        <v>12</v>
      </c>
      <c r="E36" s="282">
        <f>=_xlfn.XLOOKUP(C36,总表!B:B,总表!L:L,无,0)</f>
        <v>46092</v>
      </c>
      <c r="F36" s="314" t="s">
        <f>=_xlfn.XLOOKUP(C36,总表!B:B,总表!M:M,无,0)</f>
        <v>913</v>
      </c>
      <c r="G36" s="284">
        <f>=_xlfn.XLOOKUP(C36,总表!B:B,总表!C:C,无,0)</f>
        <v>46087.683125</v>
      </c>
      <c r="H36" s="7" t="s">
        <f>=_xlfn.XLOOKUP(C36,总表!B:B,总表!F:F,无,0)</f>
        <v>236</v>
      </c>
      <c r="I36" s="279">
        <f>=_xlfn.XLOOKUP(C36,总表!B:B,总表!P:P,无,0)</f>
        <v>0</v>
      </c>
      <c r="J36" s="209">
        <v>46092</v>
      </c>
      <c r="K36" s="7" t="s">
        <v>565</v>
      </c>
      <c r="L36" s="7" t="s">
        <v>26</v>
      </c>
      <c r="M36" s="287">
        <v>46099</v>
      </c>
      <c r="N36" s="300" t="s">
        <v>611</v>
      </c>
      <c r="O36" s="315" t="s"/>
      <c r="P36" s="316" t="s">
        <f>=IF(K36&lt;&gt;"",IF(ISBLANK(M36),IF(TODAY()-J36&gt;14,"超时","未超时"),IF(M36-J36&gt;14,"超时","未超时")),"")</f>
        <v>1601</v>
      </c>
      <c r="Q36" s="7" t="s"/>
      <c r="R36" s="290" t="s"/>
      <c r="S36" s="7" t="s"/>
      <c r="T36" s="7" t="s"/>
      <c r="U36" s="7" t="s"/>
      <c r="V36" s="7" t="s"/>
      <c r="W36" s="7" t="s"/>
      <c r="X36" s="7" t="s"/>
      <c r="Y36" s="290" t="s"/>
    </row>
    <row r="37" spans="1:25">
      <c r="A37" s="278">
        <v>36</v>
      </c>
      <c r="B37" s="279">
        <f>=_xlfn.XLOOKUP(C37,总表!B:B,总表!A:A,无,0)</f>
        <v>111</v>
      </c>
      <c r="C37" s="311" t="s">
        <v>62</v>
      </c>
      <c r="D37" s="281" t="s">
        <f>=_xlfn.XLOOKUP(C37,总表!B:B,总表!J:J,无0)</f>
        <v>12</v>
      </c>
      <c r="E37" s="282">
        <f>=_xlfn.XLOOKUP(C37,总表!B:B,总表!L:L,无,0)</f>
        <v>46092</v>
      </c>
      <c r="F37" s="314" t="s">
        <f>=_xlfn.XLOOKUP(C37,总表!B:B,总表!M:M,无,0)</f>
        <v>913</v>
      </c>
      <c r="G37" s="284">
        <f>=_xlfn.XLOOKUP(C37,总表!B:B,总表!C:C,无,0)</f>
        <v>46087.6607060185</v>
      </c>
      <c r="H37" s="7" t="s">
        <f>=_xlfn.XLOOKUP(C37,总表!B:B,总表!F:F,无,0)</f>
        <v>234</v>
      </c>
      <c r="I37" s="279">
        <f>=_xlfn.XLOOKUP(C37,总表!B:B,总表!P:P,无,0)</f>
        <v>0</v>
      </c>
      <c r="J37" s="209">
        <v>46093</v>
      </c>
      <c r="K37" s="7" t="s">
        <v>565</v>
      </c>
      <c r="L37" s="7" t="s">
        <v>18</v>
      </c>
      <c r="M37" s="287">
        <v>46101</v>
      </c>
      <c r="N37" s="300" t="s">
        <v>611</v>
      </c>
      <c r="O37" s="315" t="s"/>
      <c r="P37" s="316" t="s">
        <f>=IF(K37&lt;&gt;"",IF(ISBLANK(M37),IF(TODAY()-J37&gt;14,"超时","未超时"),IF(M37-J37&gt;14,"超时","未超时")),"")</f>
        <v>1601</v>
      </c>
      <c r="Q37" s="7" t="s"/>
      <c r="R37" s="290" t="s"/>
      <c r="S37" s="7" t="s"/>
      <c r="T37" s="7" t="s"/>
      <c r="U37" s="7" t="s"/>
      <c r="V37" s="7" t="s"/>
      <c r="W37" s="7" t="s"/>
      <c r="X37" s="7" t="s"/>
      <c r="Y37" s="290" t="s"/>
    </row>
    <row r="38" spans="1:25">
      <c r="A38" s="278">
        <v>37</v>
      </c>
      <c r="B38" s="279">
        <f>=_xlfn.XLOOKUP(C38,总表!B:B,总表!A:A,无,0)</f>
        <v>112</v>
      </c>
      <c r="C38" s="311" t="s">
        <v>63</v>
      </c>
      <c r="D38" s="281" t="s">
        <f>=_xlfn.XLOOKUP(C38,总表!B:B,总表!J:J,无0)</f>
        <v>12</v>
      </c>
      <c r="E38" s="282">
        <f>=_xlfn.XLOOKUP(C38,总表!B:B,总表!L:L,无,0)</f>
        <v>46092</v>
      </c>
      <c r="F38" s="314" t="s">
        <f>=_xlfn.XLOOKUP(C38,总表!B:B,总表!M:M,无,0)</f>
        <v>920</v>
      </c>
      <c r="G38" s="284">
        <f>=_xlfn.XLOOKUP(C38,总表!B:B,总表!C:C,无,0)</f>
        <v>46087.6824305556</v>
      </c>
      <c r="H38" s="7" t="s">
        <f>=_xlfn.XLOOKUP(C38,总表!B:B,总表!F:F,无,0)</f>
        <v>215</v>
      </c>
      <c r="I38" s="279">
        <f>=_xlfn.XLOOKUP(C38,总表!B:B,总表!P:P,无,0)</f>
        <v>0</v>
      </c>
      <c r="J38" s="209">
        <v>46093</v>
      </c>
      <c r="K38" s="7" t="s">
        <v>565</v>
      </c>
      <c r="L38" s="7" t="s">
        <v>18</v>
      </c>
      <c r="M38" s="287">
        <v>46099</v>
      </c>
      <c r="N38" s="300" t="s">
        <v>611</v>
      </c>
      <c r="O38" s="315" t="s"/>
      <c r="P38" s="316" t="s">
        <f>=IF(K38&lt;&gt;"",IF(ISBLANK(M38),IF(TODAY()-J38&gt;14,"超时","未超时"),IF(M38-J38&gt;14,"超时","未超时")),"")</f>
        <v>1601</v>
      </c>
      <c r="Q38" s="7" t="s"/>
      <c r="R38" s="290" t="s"/>
      <c r="S38" s="7" t="s"/>
      <c r="T38" s="7" t="s"/>
      <c r="U38" s="7" t="s"/>
      <c r="V38" s="7" t="s"/>
      <c r="W38" s="7" t="s"/>
      <c r="X38" s="7" t="s"/>
      <c r="Y38" s="290" t="s"/>
    </row>
    <row r="39" spans="1:25">
      <c r="A39" s="278">
        <v>38</v>
      </c>
      <c r="B39" s="279">
        <f>=_xlfn.XLOOKUP(C39,总表!B:B,总表!A:A,无,0)</f>
        <v>113</v>
      </c>
      <c r="C39" s="311" t="s">
        <v>64</v>
      </c>
      <c r="D39" s="281" t="s">
        <f>=_xlfn.XLOOKUP(C39,总表!B:B,总表!J:J,无0)</f>
        <v>12</v>
      </c>
      <c r="E39" s="282">
        <f>=_xlfn.XLOOKUP(C39,总表!B:B,总表!L:L,无,0)</f>
        <v>46097</v>
      </c>
      <c r="F39" s="314" t="s">
        <f>=_xlfn.XLOOKUP(C39,总表!B:B,总表!M:M,无,0)</f>
        <v>913</v>
      </c>
      <c r="G39" s="284">
        <f>=_xlfn.XLOOKUP(C39,总表!B:B,总表!C:C,无,0)</f>
        <v>46087.6923958333</v>
      </c>
      <c r="H39" s="7" t="s">
        <f>=_xlfn.XLOOKUP(C39,总表!B:B,总表!F:F,无,0)</f>
        <v>236</v>
      </c>
      <c r="I39" s="279">
        <f>=_xlfn.XLOOKUP(C39,总表!B:B,总表!P:P,无,0)</f>
        <v>0</v>
      </c>
      <c r="J39" s="209">
        <v>46097</v>
      </c>
      <c r="K39" s="7" t="s">
        <v>565</v>
      </c>
      <c r="L39" s="7" t="s">
        <v>18</v>
      </c>
      <c r="M39" s="287">
        <v>46101</v>
      </c>
      <c r="N39" s="300" t="s">
        <v>611</v>
      </c>
      <c r="O39" s="301" t="s"/>
      <c r="P39" s="300" t="s">
        <f>=IF(K39&lt;&gt;"",IF(ISBLANK(M39),IF(TODAY()-J39&gt;14,"超时","未超时"),IF(M39-J39&gt;14,"超时","未超时")),"")</f>
        <v>1601</v>
      </c>
      <c r="Q39" s="7" t="s"/>
      <c r="R39" s="290" t="s"/>
      <c r="S39" s="7" t="s"/>
      <c r="T39" s="7" t="s"/>
      <c r="U39" s="7" t="s"/>
      <c r="V39" s="7" t="s"/>
      <c r="W39" s="7" t="s"/>
      <c r="X39" s="7" t="s"/>
      <c r="Y39" s="290" t="s"/>
    </row>
    <row r="40" spans="1:25">
      <c r="A40" s="278">
        <v>39</v>
      </c>
      <c r="B40" s="279">
        <f>=_xlfn.XLOOKUP(C40,总表!B:B,总表!A:A,无,0)</f>
        <v>119</v>
      </c>
      <c r="C40" s="319" t="s">
        <v>65</v>
      </c>
      <c r="D40" s="281" t="s">
        <f>=_xlfn.XLOOKUP(C40,总表!B:B,总表!J:J,无0)</f>
        <v>12</v>
      </c>
      <c r="E40" s="282">
        <f>=_xlfn.XLOOKUP(C40,总表!B:B,总表!L:L,无,0)</f>
        <v>0</v>
      </c>
      <c r="F40" s="314">
        <f>=_xlfn.XLOOKUP(C40,总表!B:B,总表!M:M,无,0)</f>
        <v>0</v>
      </c>
      <c r="G40" s="284">
        <f>=_xlfn.XLOOKUP(C40,总表!B:B,总表!C:C,无,0)</f>
        <v>46089.7509837962</v>
      </c>
      <c r="H40" s="7" t="s">
        <f>=_xlfn.XLOOKUP(C40,总表!B:B,总表!F:F,无,0)</f>
        <v>234</v>
      </c>
      <c r="I40" s="279" t="s">
        <v>1612</v>
      </c>
      <c r="J40" s="209" t="s"/>
      <c r="K40" s="7" t="s"/>
      <c r="L40" s="7" t="s"/>
      <c r="M40" s="287" t="s"/>
      <c r="N40" s="300" t="s"/>
      <c r="O40" s="301" t="s"/>
      <c r="P40" s="300" t="s">
        <f>=IF(K40&lt;&gt;"",IF(ISBLANK(M40),IF(TODAY()-J40&gt;14,"超时","未超时"),IF(M40-J40&gt;14,"超时","未超时")),"")</f>
      </c>
      <c r="Q40" s="7" t="s"/>
      <c r="R40" s="7" t="s"/>
      <c r="S40" s="320" t="s"/>
      <c r="T40" s="307" t="s"/>
      <c r="U40" s="307" t="s"/>
      <c r="V40" s="307" t="s"/>
      <c r="W40" s="307" t="s"/>
      <c r="X40" s="307" t="s"/>
      <c r="Y40" s="307" t="s"/>
    </row>
    <row r="41" spans="1:25">
      <c r="A41" s="278">
        <v>40</v>
      </c>
      <c r="B41" s="279">
        <f>=_xlfn.XLOOKUP(C41,总表!B:B,总表!A:A,无,0)</f>
        <v>120</v>
      </c>
      <c r="C41" s="319" t="s">
        <v>66</v>
      </c>
      <c r="D41" s="281" t="s">
        <f>=_xlfn.XLOOKUP(C41,总表!B:B,总表!J:J,无0)</f>
        <v>12</v>
      </c>
      <c r="E41" s="282">
        <f>=_xlfn.XLOOKUP(C41,总表!B:B,总表!L:L,无,0)</f>
        <v>46121</v>
      </c>
      <c r="F41" s="314" t="s">
        <f>=_xlfn.XLOOKUP(C41,总表!B:B,总表!M:M,无,0)</f>
        <v>610</v>
      </c>
      <c r="G41" s="284">
        <f>=_xlfn.XLOOKUP(C41,总表!B:B,总表!C:C,无,0)</f>
        <v>46087.7388888889</v>
      </c>
      <c r="H41" s="7" t="s">
        <f>=_xlfn.XLOOKUP(C41,总表!B:B,总表!F:F,无,0)</f>
        <v>236</v>
      </c>
      <c r="I41" s="321" t="s">
        <v>1613</v>
      </c>
      <c r="J41" s="209">
        <v>46121</v>
      </c>
      <c r="K41" s="7" t="s">
        <v>565</v>
      </c>
      <c r="L41" s="7" t="s">
        <v>18</v>
      </c>
      <c r="M41" s="287" t="s"/>
      <c r="N41" s="300" t="s"/>
      <c r="O41" s="301" t="s"/>
      <c r="P41" s="300" t="s">
        <f>=IF(K41&lt;&gt;"",IF(ISBLANK(M41),IF(TODAY()-J41&gt;14,"超时","未超时"),IF(M41-J41&gt;14,"超时","未超时")),"")</f>
        <v>1601</v>
      </c>
      <c r="Q41" s="7" t="s"/>
      <c r="R41" s="7" t="s"/>
      <c r="S41" s="322" t="s"/>
      <c r="T41" s="307" t="s"/>
      <c r="U41" s="307" t="s"/>
      <c r="V41" s="307" t="s"/>
      <c r="W41" s="307" t="s"/>
      <c r="X41" s="307" t="s"/>
      <c r="Y41" s="307" t="s"/>
    </row>
    <row r="42" spans="1:25">
      <c r="A42" s="278">
        <v>41</v>
      </c>
      <c r="B42" s="279">
        <f>=_xlfn.XLOOKUP(C42,总表!B:B,总表!A:A,无,0)</f>
        <v>122</v>
      </c>
      <c r="C42" s="319" t="s">
        <v>67</v>
      </c>
      <c r="D42" s="281" t="s">
        <f>=_xlfn.XLOOKUP(C42,总表!B:B,总表!J:J,无0)</f>
        <v>12</v>
      </c>
      <c r="E42" s="282">
        <f>=_xlfn.XLOOKUP(C42,总表!B:B,总表!L:L,无,0)</f>
        <v>46097</v>
      </c>
      <c r="F42" s="314" t="s">
        <f>=_xlfn.XLOOKUP(C42,总表!B:B,总表!M:M,无,0)</f>
        <v>940</v>
      </c>
      <c r="G42" s="284">
        <f>=_xlfn.XLOOKUP(C42,总表!B:B,总表!C:C,无,0)</f>
        <v>46087.7831712962</v>
      </c>
      <c r="H42" s="7" t="s">
        <f>=_xlfn.XLOOKUP(C42,总表!B:B,总表!F:F,无,0)</f>
        <v>215</v>
      </c>
      <c r="I42" s="279">
        <f>=_xlfn.XLOOKUP(C42,总表!B:B,总表!P:P,无,0)</f>
        <v>0</v>
      </c>
      <c r="J42" s="209">
        <v>46097</v>
      </c>
      <c r="K42" s="7" t="s">
        <v>565</v>
      </c>
      <c r="L42" s="7" t="s">
        <v>18</v>
      </c>
      <c r="M42" s="287">
        <v>46101</v>
      </c>
      <c r="N42" s="300" t="s">
        <v>611</v>
      </c>
      <c r="O42" s="301" t="s"/>
      <c r="P42" s="300" t="s">
        <f>=IF(K42&lt;&gt;"",IF(ISBLANK(M42),IF(TODAY()-J42&gt;14,"超时","未超时"),IF(M42-J42&gt;14,"超时","未超时")),"")</f>
        <v>1601</v>
      </c>
      <c r="Q42" s="7" t="s"/>
      <c r="R42" s="290" t="s"/>
      <c r="S42" s="7" t="s"/>
      <c r="T42" s="7" t="s"/>
      <c r="U42" s="7" t="s"/>
      <c r="V42" s="7" t="s"/>
      <c r="W42" s="7" t="s"/>
      <c r="X42" s="7" t="s"/>
      <c r="Y42" s="290" t="s"/>
    </row>
    <row r="43" spans="1:25">
      <c r="A43" s="278">
        <v>42</v>
      </c>
      <c r="B43" s="279">
        <f>=_xlfn.XLOOKUP(C43,总表!B:B,总表!A:A,无,0)</f>
        <v>123</v>
      </c>
      <c r="C43" s="319" t="s">
        <v>68</v>
      </c>
      <c r="D43" s="281" t="s">
        <f>=_xlfn.XLOOKUP(C43,总表!B:B,总表!J:J,无0)</f>
        <v>12</v>
      </c>
      <c r="E43" s="282">
        <f>=_xlfn.XLOOKUP(C43,总表!B:B,总表!L:L,无,0)</f>
        <v>46090</v>
      </c>
      <c r="F43" s="314" t="s">
        <f>=_xlfn.XLOOKUP(C43,总表!B:B,总表!M:M,无,0)</f>
        <v>943</v>
      </c>
      <c r="G43" s="284">
        <f>=_xlfn.XLOOKUP(C43,总表!B:B,总表!C:C,无,0)</f>
        <v>46087.7416782407</v>
      </c>
      <c r="H43" s="7" t="s">
        <f>=_xlfn.XLOOKUP(C43,总表!B:B,总表!F:F,无,0)</f>
        <v>234</v>
      </c>
      <c r="I43" s="323" t="s"/>
      <c r="J43" s="286">
        <v>46090</v>
      </c>
      <c r="K43" s="7" t="s">
        <v>565</v>
      </c>
      <c r="L43" s="7" t="s">
        <v>35</v>
      </c>
      <c r="M43" s="287">
        <v>46086</v>
      </c>
      <c r="N43" s="300" t="s">
        <v>611</v>
      </c>
      <c r="O43" s="315" t="s"/>
      <c r="P43" s="316" t="s">
        <f>=IF(K43&lt;&gt;"",IF(ISBLANK(M43),IF(TODAY()-J43&gt;14,"超时","未超时"),IF(M43-J43&gt;14,"超时","未超时")),"")</f>
        <v>1601</v>
      </c>
      <c r="Q43" s="7" t="s"/>
      <c r="R43" s="290" t="s"/>
      <c r="S43" s="7" t="s"/>
      <c r="T43" s="7" t="s"/>
      <c r="U43" s="7" t="s"/>
      <c r="V43" s="7" t="s"/>
      <c r="W43" s="7" t="s"/>
      <c r="X43" s="7" t="s"/>
      <c r="Y43" s="290" t="s"/>
    </row>
    <row r="44" spans="1:25">
      <c r="A44" s="278">
        <v>43</v>
      </c>
      <c r="B44" s="279">
        <f>=_xlfn.XLOOKUP(C44,总表!B:B,总表!A:A,无,0)</f>
        <v>125</v>
      </c>
      <c r="C44" s="311" t="s">
        <v>69</v>
      </c>
      <c r="D44" s="281" t="s">
        <f>=_xlfn.XLOOKUP(C44,总表!B:B,总表!J:J,无0)</f>
        <v>12</v>
      </c>
      <c r="E44" s="282">
        <f>=_xlfn.XLOOKUP(C44,总表!B:B,总表!L:L,无,0)</f>
        <v>46091</v>
      </c>
      <c r="F44" s="314" t="s">
        <f>=_xlfn.XLOOKUP(C44,总表!B:B,总表!M:M,无,0)</f>
        <v>610</v>
      </c>
      <c r="G44" s="284">
        <f>=_xlfn.XLOOKUP(C44,总表!B:B,总表!C:C,无,0)</f>
        <v>46090.460474537</v>
      </c>
      <c r="H44" s="7" t="s">
        <f>=_xlfn.XLOOKUP(C44,总表!B:B,总表!F:F,无,0)</f>
        <v>224</v>
      </c>
      <c r="I44" s="279" t="s">
        <f>=_xlfn.XLOOKUP(C44,总表!B:B,总表!P:P,无,0)</f>
        <v>949</v>
      </c>
      <c r="J44" s="209">
        <v>46091</v>
      </c>
      <c r="K44" s="7" t="s">
        <v>565</v>
      </c>
      <c r="L44" s="7" t="s">
        <v>26</v>
      </c>
      <c r="M44" s="287">
        <v>46099</v>
      </c>
      <c r="N44" s="300" t="s">
        <v>611</v>
      </c>
      <c r="O44" s="315" t="s"/>
      <c r="P44" s="316" t="s">
        <f>=IF(K44&lt;&gt;"",IF(ISBLANK(M44),IF(TODAY()-J44&gt;14,"超时","未超时"),IF(M44-J44&gt;14,"超时","未超时")),"")</f>
        <v>1601</v>
      </c>
      <c r="Q44" s="7" t="s"/>
      <c r="R44" s="290" t="s"/>
      <c r="S44" s="7" t="s"/>
      <c r="T44" s="7" t="s"/>
      <c r="U44" s="7" t="s"/>
      <c r="V44" s="7" t="s"/>
      <c r="W44" s="7" t="s"/>
      <c r="X44" s="7" t="s"/>
      <c r="Y44" s="290" t="s"/>
    </row>
    <row r="45" spans="1:25">
      <c r="A45" s="278">
        <v>44</v>
      </c>
      <c r="B45" s="279">
        <f>=_xlfn.XLOOKUP(C45,总表!B:B,总表!A:A,无,0)</f>
        <v>126</v>
      </c>
      <c r="C45" s="324" t="s">
        <v>70</v>
      </c>
      <c r="D45" s="281" t="s">
        <f>=_xlfn.XLOOKUP(C45,总表!B:B,总表!J:J,无0)</f>
        <v>12</v>
      </c>
      <c r="E45" s="282">
        <f>=_xlfn.XLOOKUP(C45,总表!B:B,总表!L:L,无,0)</f>
        <v>46093</v>
      </c>
      <c r="F45" s="314" t="s">
        <f>=_xlfn.XLOOKUP(C45,总表!B:B,总表!M:M,无,0)</f>
        <v>610</v>
      </c>
      <c r="G45" s="284">
        <f>=_xlfn.XLOOKUP(C45,总表!B:B,总表!C:C,无,0)</f>
        <v>46090.5779976852</v>
      </c>
      <c r="H45" s="7" t="s">
        <f>=_xlfn.XLOOKUP(C45,总表!B:B,总表!F:F,无,0)</f>
        <v>236</v>
      </c>
      <c r="I45" s="279">
        <f>=_xlfn.XLOOKUP(C45,总表!B:B,总表!P:P,无,0)</f>
        <v>0</v>
      </c>
      <c r="J45" s="286">
        <v>46093</v>
      </c>
      <c r="K45" s="7" t="s">
        <v>565</v>
      </c>
      <c r="L45" s="7" t="s">
        <v>35</v>
      </c>
      <c r="M45" s="287">
        <v>46108</v>
      </c>
      <c r="N45" s="300" t="s">
        <v>611</v>
      </c>
      <c r="O45" s="315" t="s"/>
      <c r="P45" s="316" t="s">
        <f>=IF(K45&lt;&gt;"",IF(ISBLANK(M45),IF(TODAY()-J45&gt;14,"超时","未超时"),IF(M45-J45&gt;14,"超时","未超时")),"")</f>
        <v>1609</v>
      </c>
      <c r="Q45" s="7" t="s">
        <v>1614</v>
      </c>
      <c r="R45" s="290" t="s"/>
      <c r="S45" s="7" t="s"/>
      <c r="T45" s="7" t="s"/>
      <c r="U45" s="7" t="s"/>
      <c r="V45" s="7" t="s"/>
      <c r="W45" s="7" t="s"/>
      <c r="X45" s="7" t="s"/>
      <c r="Y45" s="290" t="s"/>
    </row>
    <row r="46" spans="1:25">
      <c r="A46" s="278">
        <v>45</v>
      </c>
      <c r="B46" s="279">
        <f>=_xlfn.XLOOKUP(C46,总表!B:B,总表!A:A,无,0)</f>
        <v>127</v>
      </c>
      <c r="C46" s="311" t="s">
        <v>71</v>
      </c>
      <c r="D46" s="281" t="s">
        <f>=_xlfn.XLOOKUP(C46,总表!B:B,总表!J:J,无0)</f>
        <v>12</v>
      </c>
      <c r="E46" s="282">
        <f>=_xlfn.XLOOKUP(C46,总表!B:B,总表!L:L,无,0)</f>
        <v>46091</v>
      </c>
      <c r="F46" s="314" t="s">
        <f>=_xlfn.XLOOKUP(C46,总表!B:B,总表!M:M,无,0)</f>
        <v>953</v>
      </c>
      <c r="G46" s="284">
        <f>=_xlfn.XLOOKUP(C46,总表!B:B,总表!C:C,无,0)</f>
        <v>46090.5944560185</v>
      </c>
      <c r="H46" s="7" t="s">
        <f>=_xlfn.XLOOKUP(C46,总表!B:B,总表!F:F,无,0)</f>
        <v>215</v>
      </c>
      <c r="I46" s="279">
        <f>=_xlfn.XLOOKUP(C46,总表!B:B,总表!P:P,无,0)</f>
        <v>0</v>
      </c>
      <c r="J46" s="209">
        <v>46091</v>
      </c>
      <c r="K46" s="7" t="s">
        <v>565</v>
      </c>
      <c r="L46" s="7" t="s">
        <v>26</v>
      </c>
      <c r="M46" s="287">
        <v>46098</v>
      </c>
      <c r="N46" s="300" t="s">
        <v>611</v>
      </c>
      <c r="O46" s="315" t="s"/>
      <c r="P46" s="316" t="s">
        <f>=IF(K46&lt;&gt;"",IF(ISBLANK(M46),IF(TODAY()-J46&gt;14,"超时","未超时"),IF(M46-J46&gt;14,"超时","未超时")),"")</f>
        <v>1601</v>
      </c>
      <c r="Q46" s="7" t="s"/>
      <c r="R46" s="290" t="s"/>
      <c r="S46" s="7" t="s"/>
      <c r="T46" s="7" t="s"/>
      <c r="U46" s="7" t="s"/>
      <c r="V46" s="7" t="s"/>
      <c r="W46" s="7" t="s"/>
      <c r="X46" s="7" t="s"/>
      <c r="Y46" s="290" t="s"/>
    </row>
    <row r="47" spans="1:25">
      <c r="A47" s="278">
        <v>46</v>
      </c>
      <c r="B47" s="279">
        <f>=_xlfn.XLOOKUP(C47,总表!B:B,总表!A:A,无,0)</f>
        <v>129</v>
      </c>
      <c r="C47" s="311" t="s">
        <v>72</v>
      </c>
      <c r="D47" s="281" t="s">
        <f>=_xlfn.XLOOKUP(C47,总表!B:B,总表!J:J,无0)</f>
        <v>12</v>
      </c>
      <c r="E47" s="282">
        <f>=_xlfn.XLOOKUP(C47,总表!B:B,总表!L:L,无,0)</f>
        <v>46091</v>
      </c>
      <c r="F47" s="314" t="s">
        <f>=_xlfn.XLOOKUP(C47,总表!B:B,总表!M:M,无,0)</f>
        <v>957</v>
      </c>
      <c r="G47" s="284">
        <f>=_xlfn.XLOOKUP(C47,总表!B:B,总表!C:C,无,0)</f>
        <v>46091.4295023148</v>
      </c>
      <c r="H47" s="7" t="s">
        <f>=_xlfn.XLOOKUP(C47,总表!B:B,总表!F:F,无,0)</f>
        <v>224</v>
      </c>
      <c r="I47" s="279">
        <f>=_xlfn.XLOOKUP(C47,总表!B:B,总表!P:P,无,0)</f>
        <v>0</v>
      </c>
      <c r="J47" s="209">
        <v>46092</v>
      </c>
      <c r="K47" s="7" t="s">
        <v>565</v>
      </c>
      <c r="L47" s="7" t="s">
        <v>26</v>
      </c>
      <c r="M47" s="287">
        <v>46105</v>
      </c>
      <c r="N47" s="300" t="s">
        <v>611</v>
      </c>
      <c r="O47" s="315" t="s"/>
      <c r="P47" s="316" t="s">
        <f>=IF(K47&lt;&gt;"",IF(ISBLANK(M47),IF(TODAY()-J47&gt;14,"超时","未超时"),IF(M47-J47&gt;14,"超时","未超时")),"")</f>
        <v>1601</v>
      </c>
      <c r="Q47" s="7" t="s"/>
      <c r="R47" s="290" t="s"/>
      <c r="S47" s="7" t="s"/>
      <c r="T47" s="7" t="s"/>
      <c r="U47" s="7" t="s"/>
      <c r="V47" s="7" t="s"/>
      <c r="W47" s="7" t="s"/>
      <c r="X47" s="7" t="s"/>
      <c r="Y47" s="290" t="s"/>
    </row>
    <row r="48" spans="1:25">
      <c r="A48" s="278">
        <v>47</v>
      </c>
      <c r="B48" s="279">
        <f>=_xlfn.XLOOKUP(C48,总表!B:B,总表!A:A,无,0)</f>
        <v>131</v>
      </c>
      <c r="C48" s="311" t="s">
        <v>73</v>
      </c>
      <c r="D48" s="281" t="s">
        <f>=_xlfn.XLOOKUP(C48,总表!B:B,总表!J:J,无0)</f>
        <v>12</v>
      </c>
      <c r="E48" s="282">
        <f>=_xlfn.XLOOKUP(C48,总表!B:B,总表!L:L,无,0)</f>
        <v>46092</v>
      </c>
      <c r="F48" s="314" t="s">
        <f>=_xlfn.XLOOKUP(C48,总表!B:B,总表!M:M,无,0)</f>
        <v>610</v>
      </c>
      <c r="G48" s="284">
        <f>=_xlfn.XLOOKUP(C48,总表!B:B,总表!C:C,无,0)</f>
        <v>46090.6989467593</v>
      </c>
      <c r="H48" s="7" t="s">
        <f>=_xlfn.XLOOKUP(C48,总表!B:B,总表!F:F,无,0)</f>
        <v>224</v>
      </c>
      <c r="I48" s="279">
        <f>=_xlfn.XLOOKUP(C48,总表!B:B,总表!P:P,无,0)</f>
        <v>0</v>
      </c>
      <c r="J48" s="209">
        <v>46092</v>
      </c>
      <c r="K48" s="7" t="s">
        <v>565</v>
      </c>
      <c r="L48" s="7" t="s">
        <v>26</v>
      </c>
      <c r="M48" s="287">
        <v>46100</v>
      </c>
      <c r="N48" s="300" t="s">
        <v>611</v>
      </c>
      <c r="O48" s="315" t="s"/>
      <c r="P48" s="316" t="s">
        <f>=IF(K48&lt;&gt;"",IF(ISBLANK(M48),IF(TODAY()-J48&gt;14,"超时","未超时"),IF(M48-J48&gt;14,"超时","未超时")),"")</f>
        <v>1601</v>
      </c>
      <c r="Q48" s="7" t="s"/>
      <c r="R48" s="290" t="s"/>
      <c r="S48" s="7" t="s"/>
      <c r="T48" s="7" t="s"/>
      <c r="U48" s="7" t="s"/>
      <c r="V48" s="7" t="s"/>
      <c r="W48" s="7" t="s"/>
      <c r="X48" s="7" t="s"/>
      <c r="Y48" s="290" t="s"/>
    </row>
    <row r="49" spans="1:25">
      <c r="A49" s="278">
        <v>48</v>
      </c>
      <c r="B49" s="279">
        <f>=_xlfn.XLOOKUP(C49,总表!B:B,总表!A:A,无,0)</f>
        <v>132</v>
      </c>
      <c r="C49" s="311" t="s">
        <v>74</v>
      </c>
      <c r="D49" s="281" t="s">
        <f>=_xlfn.XLOOKUP(C49,总表!B:B,总表!J:J,无0)</f>
        <v>12</v>
      </c>
      <c r="E49" s="282">
        <f>=_xlfn.XLOOKUP(C49,总表!B:B,总表!L:L,无,0)</f>
        <v>46092</v>
      </c>
      <c r="F49" s="314" t="s">
        <f>=_xlfn.XLOOKUP(C49,总表!B:B,总表!M:M,无,0)</f>
        <v>610</v>
      </c>
      <c r="G49" s="284">
        <f>=_xlfn.XLOOKUP(C49,总表!B:B,总表!C:C,无,0)</f>
        <v>46091.5026157408</v>
      </c>
      <c r="H49" s="7" t="s">
        <f>=_xlfn.XLOOKUP(C49,总表!B:B,总表!F:F,无,0)</f>
        <v>224</v>
      </c>
      <c r="I49" s="321" t="s">
        <v>1615</v>
      </c>
      <c r="J49" s="209">
        <v>46092</v>
      </c>
      <c r="K49" s="7" t="s">
        <v>565</v>
      </c>
      <c r="L49" s="7" t="s">
        <v>18</v>
      </c>
      <c r="M49" s="287">
        <v>46097</v>
      </c>
      <c r="N49" s="300" t="s">
        <v>611</v>
      </c>
      <c r="O49" s="315" t="s"/>
      <c r="P49" s="316" t="s">
        <f>=IF(K49&lt;&gt;"",IF(ISBLANK(M49),IF(TODAY()-J49&gt;14,"超时","未超时"),IF(M49-J49&gt;14,"超时","未超时")),"")</f>
        <v>1601</v>
      </c>
      <c r="Q49" s="7" t="s"/>
      <c r="R49" s="290" t="s"/>
      <c r="S49" s="7" t="s">
        <v>1603</v>
      </c>
      <c r="T49" s="7" t="s"/>
      <c r="U49" s="7" t="s"/>
      <c r="V49" s="7" t="s"/>
      <c r="W49" s="7" t="s"/>
      <c r="X49" s="7" t="s"/>
      <c r="Y49" s="290" t="s"/>
    </row>
    <row r="50" spans="1:25">
      <c r="A50" s="278">
        <v>49</v>
      </c>
      <c r="B50" s="279">
        <f>=_xlfn.XLOOKUP(C50,总表!B:B,总表!A:A,无,0)</f>
        <v>133</v>
      </c>
      <c r="C50" s="311" t="s">
        <v>75</v>
      </c>
      <c r="D50" s="281" t="s">
        <f>=_xlfn.XLOOKUP(C50,总表!B:B,总表!J:J,无0)</f>
        <v>12</v>
      </c>
      <c r="E50" s="282">
        <f>=_xlfn.XLOOKUP(C50,总表!B:B,总表!L:L,无,0)</f>
        <v>46101</v>
      </c>
      <c r="F50" s="314" t="s">
        <f>=_xlfn.XLOOKUP(C50,总表!B:B,总表!M:M,无,0)</f>
        <v>610</v>
      </c>
      <c r="G50" s="284">
        <f>=_xlfn.XLOOKUP(C50,总表!B:B,总表!C:C,无,0)</f>
        <v>46091.4512962962</v>
      </c>
      <c r="H50" s="7" t="s">
        <f>=_xlfn.XLOOKUP(C50,总表!B:B,总表!F:F,无,0)</f>
        <v>236</v>
      </c>
      <c r="I50" s="279" t="s">
        <f>=_xlfn.XLOOKUP(C50,总表!B:B,总表!P:P,无,0)</f>
        <v>1616</v>
      </c>
      <c r="J50" s="209">
        <v>46101</v>
      </c>
      <c r="K50" s="7" t="s">
        <v>565</v>
      </c>
      <c r="L50" s="7" t="s">
        <v>26</v>
      </c>
      <c r="M50" s="287">
        <v>46105</v>
      </c>
      <c r="N50" s="300" t="s">
        <v>611</v>
      </c>
      <c r="O50" s="301" t="s"/>
      <c r="P50" s="300" t="s">
        <f>=IF(K50&lt;&gt;"",IF(ISBLANK(M50),IF(TODAY()-J50&gt;14,"超时","未超时"),IF(M50-J50&gt;14,"超时","未超时")),"")</f>
        <v>1601</v>
      </c>
      <c r="Q50" s="7" t="s"/>
      <c r="R50" s="290" t="s"/>
      <c r="S50" s="7" t="s"/>
      <c r="T50" s="7" t="s"/>
      <c r="U50" s="7" t="s"/>
      <c r="V50" s="7" t="s"/>
      <c r="W50" s="7" t="s"/>
      <c r="X50" s="7" t="s"/>
      <c r="Y50" s="290" t="s"/>
    </row>
    <row r="51" spans="1:25">
      <c r="A51" s="278">
        <v>50</v>
      </c>
      <c r="B51" s="279">
        <f>=_xlfn.XLOOKUP(C51,总表!B:B,总表!A:A,无,0)</f>
        <v>135</v>
      </c>
      <c r="C51" s="311" t="s">
        <v>76</v>
      </c>
      <c r="D51" s="281" t="s">
        <f>=_xlfn.XLOOKUP(C51,总表!B:B,总表!J:J,无0)</f>
        <v>12</v>
      </c>
      <c r="E51" s="282">
        <f>=_xlfn.XLOOKUP(C51,总表!B:B,总表!L:L,无,0)</f>
        <v>46097</v>
      </c>
      <c r="F51" s="314" t="s">
        <f>=_xlfn.XLOOKUP(C51,总表!B:B,总表!M:M,无,0)</f>
        <v>968</v>
      </c>
      <c r="G51" s="284">
        <f>=_xlfn.XLOOKUP(C51,总表!B:B,总表!C:C,无,0)</f>
        <v>46091.6817476852</v>
      </c>
      <c r="H51" s="7" t="s">
        <f>=_xlfn.XLOOKUP(C51,总表!B:B,总表!F:F,无,0)</f>
        <v>234</v>
      </c>
      <c r="I51" s="293" t="s"/>
      <c r="J51" s="209">
        <v>46097</v>
      </c>
      <c r="K51" s="7" t="s">
        <v>565</v>
      </c>
      <c r="L51" s="7" t="s">
        <v>26</v>
      </c>
      <c r="M51" s="287">
        <v>46100</v>
      </c>
      <c r="N51" s="300" t="s">
        <v>611</v>
      </c>
      <c r="O51" s="301" t="s"/>
      <c r="P51" s="300" t="s">
        <f>=IF(K51&lt;&gt;"",IF(ISBLANK(M51),IF(TODAY()-J51&gt;14,"超时","未超时"),IF(M51-J51&gt;14,"超时","未超时")),"")</f>
        <v>1601</v>
      </c>
      <c r="Q51" s="7" t="s"/>
      <c r="R51" s="290" t="s"/>
      <c r="S51" s="7" t="s"/>
      <c r="T51" s="7" t="s"/>
      <c r="U51" s="7" t="s"/>
      <c r="V51" s="7" t="s"/>
      <c r="W51" s="7" t="s"/>
      <c r="X51" s="7" t="s"/>
      <c r="Y51" s="290" t="s"/>
    </row>
    <row r="52" spans="1:25">
      <c r="A52" s="278">
        <v>51</v>
      </c>
      <c r="B52" s="279">
        <f>=_xlfn.XLOOKUP(C52,总表!B:B,总表!A:A,无,0)</f>
        <v>58</v>
      </c>
      <c r="C52" s="311" t="s">
        <v>77</v>
      </c>
      <c r="D52" s="281" t="s">
        <f>=_xlfn.XLOOKUP(C52,总表!B:B,总表!J:J,无0)</f>
        <v>12</v>
      </c>
      <c r="E52" s="282">
        <f>=_xlfn.XLOOKUP(C52,总表!B:B,总表!L:L,无,0)</f>
        <v>46091</v>
      </c>
      <c r="F52" s="314" t="s">
        <f>=_xlfn.XLOOKUP(C52,总表!B:B,总表!M:M,无,0)</f>
        <v>787</v>
      </c>
      <c r="G52" s="284">
        <f>=_xlfn.XLOOKUP(C52,总表!B:B,总表!C:C,无,0)</f>
        <v>46081.6544444444</v>
      </c>
      <c r="H52" s="7" t="s">
        <f>=_xlfn.XLOOKUP(C52,总表!B:B,总表!F:F,无,0)</f>
        <v>224</v>
      </c>
      <c r="I52" s="279">
        <f>=_xlfn.XLOOKUP(C52,总表!B:B,总表!P:P,无,0)</f>
        <v>0</v>
      </c>
      <c r="J52" s="209">
        <v>46092</v>
      </c>
      <c r="K52" s="7" t="s">
        <v>565</v>
      </c>
      <c r="L52" s="7" t="s">
        <v>35</v>
      </c>
      <c r="M52" s="287">
        <v>46105</v>
      </c>
      <c r="N52" s="300" t="s">
        <v>611</v>
      </c>
      <c r="O52" s="315" t="s"/>
      <c r="P52" s="316" t="s">
        <f>=IF(K52&lt;&gt;"",IF(ISBLANK(M52),IF(TODAY()-J52&gt;14,"超时","未超时"),IF(M52-J52&gt;14,"超时","未超时")),"")</f>
        <v>1601</v>
      </c>
      <c r="Q52" s="7" t="s"/>
      <c r="R52" s="290" t="s"/>
      <c r="S52" s="7" t="s"/>
      <c r="T52" s="7" t="s"/>
      <c r="U52" s="7" t="s"/>
      <c r="V52" s="7" t="s"/>
      <c r="W52" s="7" t="s"/>
      <c r="X52" s="7" t="s"/>
      <c r="Y52" s="290" t="s"/>
    </row>
    <row r="53" spans="1:25">
      <c r="A53" s="278">
        <v>52</v>
      </c>
      <c r="B53" s="279">
        <f>=_xlfn.XLOOKUP(C53,总表!B:B,总表!A:A,无,0)</f>
        <v>138</v>
      </c>
      <c r="C53" s="311" t="s">
        <v>78</v>
      </c>
      <c r="D53" s="281" t="s">
        <f>=_xlfn.XLOOKUP(C53,总表!B:B,总表!J:J,无0)</f>
        <v>12</v>
      </c>
      <c r="E53" s="282">
        <f>=_xlfn.XLOOKUP(C53,总表!B:B,总表!L:L,无,0)</f>
        <v>46112</v>
      </c>
      <c r="F53" s="314" t="s">
        <f>=_xlfn.XLOOKUP(C53,总表!B:B,总表!M:M,无,0)</f>
        <v>610</v>
      </c>
      <c r="G53" s="284">
        <f>=_xlfn.XLOOKUP(C53,总表!B:B,总表!C:C,无,0)</f>
        <v>46092.4177430556</v>
      </c>
      <c r="H53" s="7" t="s">
        <f>=_xlfn.XLOOKUP(C53,总表!B:B,总表!F:F,无,0)</f>
        <v>234</v>
      </c>
      <c r="I53" s="279" t="s">
        <v>1617</v>
      </c>
      <c r="J53" s="209">
        <v>46112</v>
      </c>
      <c r="K53" s="7" t="s">
        <v>565</v>
      </c>
      <c r="L53" s="7" t="s">
        <v>26</v>
      </c>
      <c r="M53" s="287">
        <v>46122</v>
      </c>
      <c r="N53" s="300" t="s">
        <v>611</v>
      </c>
      <c r="O53" s="301" t="s"/>
      <c r="P53" s="300" t="s">
        <f>=IF(K53&lt;&gt;"",IF(ISBLANK(M53),IF(TODAY()-J53&gt;14,"超时","未超时"),IF(M53-J53&gt;14,"超时","未超时")),"")</f>
        <v>1601</v>
      </c>
      <c r="Q53" s="7" t="s"/>
      <c r="R53" s="7" t="s"/>
      <c r="S53" s="306" t="s"/>
      <c r="T53" s="307" t="s"/>
      <c r="U53" s="307" t="s"/>
      <c r="V53" s="307" t="s"/>
      <c r="W53" s="307" t="s"/>
      <c r="X53" s="307" t="s"/>
      <c r="Y53" s="307" t="s"/>
    </row>
    <row r="54" spans="1:25">
      <c r="A54" s="278">
        <v>53</v>
      </c>
      <c r="B54" s="279">
        <f>=_xlfn.XLOOKUP(C54,总表!B:B,总表!A:A,无,0)</f>
        <v>139</v>
      </c>
      <c r="C54" s="311" t="s">
        <v>79</v>
      </c>
      <c r="D54" s="281" t="s">
        <f>=_xlfn.XLOOKUP(C54,总表!B:B,总表!J:J,无0)</f>
        <v>12</v>
      </c>
      <c r="E54" s="282">
        <f>=_xlfn.XLOOKUP(C54,总表!B:B,总表!L:L,无,0)</f>
        <v>46097</v>
      </c>
      <c r="F54" s="283" t="s">
        <f>=_xlfn.XLOOKUP(C54,总表!B:B,总表!M:M,无,0)</f>
        <v>610</v>
      </c>
      <c r="G54" s="284">
        <f>=_xlfn.XLOOKUP(C54,总表!B:B,总表!C:C,无,0)</f>
        <v>46092.4545949074</v>
      </c>
      <c r="H54" s="7" t="s">
        <f>=_xlfn.XLOOKUP(C54,总表!B:B,总表!F:F,无,0)</f>
        <v>236</v>
      </c>
      <c r="I54" s="279">
        <f>=_xlfn.XLOOKUP(C54,总表!B:B,总表!P:P,无,0)</f>
        <v>0</v>
      </c>
      <c r="J54" s="209">
        <v>46097</v>
      </c>
      <c r="K54" s="7" t="s">
        <v>565</v>
      </c>
      <c r="L54" s="7" t="s">
        <v>26</v>
      </c>
      <c r="M54" s="287">
        <v>46101</v>
      </c>
      <c r="N54" s="300" t="s">
        <v>611</v>
      </c>
      <c r="O54" s="301" t="s"/>
      <c r="P54" s="300" t="s">
        <f>=IF(K54&lt;&gt;"",IF(ISBLANK(M54),IF(TODAY()-J54&gt;14,"超时","未超时"),IF(M54-J54&gt;14,"超时","未超时")),"")</f>
        <v>1601</v>
      </c>
      <c r="Q54" s="7" t="s"/>
      <c r="R54" s="290" t="s"/>
      <c r="S54" s="7" t="s"/>
      <c r="T54" s="7" t="s"/>
      <c r="U54" s="7" t="s"/>
      <c r="V54" s="7" t="s"/>
      <c r="W54" s="7" t="s"/>
      <c r="X54" s="7" t="s"/>
      <c r="Y54" s="290" t="s"/>
    </row>
    <row r="55" spans="1:25">
      <c r="A55" s="278">
        <v>54</v>
      </c>
      <c r="B55" s="279">
        <f>=_xlfn.XLOOKUP(C55,总表!B:B,总表!A:A,无,0)</f>
        <v>145</v>
      </c>
      <c r="C55" s="324" t="s">
        <v>80</v>
      </c>
      <c r="D55" s="281" t="s">
        <f>=_xlfn.XLOOKUP(C55,总表!B:B,总表!J:J,无0)</f>
        <v>12</v>
      </c>
      <c r="E55" s="282">
        <f>=_xlfn.XLOOKUP(C55,总表!B:B,总表!L:L,无,0)</f>
        <v>46098</v>
      </c>
      <c r="F55" s="283" t="s">
        <f>=_xlfn.XLOOKUP(C55,总表!B:B,总表!M:M,无,0)</f>
        <v>610</v>
      </c>
      <c r="G55" s="284">
        <f>=_xlfn.XLOOKUP(C55,总表!B:B,总表!C:C,无,0)</f>
        <v>46092.4912037037</v>
      </c>
      <c r="H55" s="7" t="s">
        <f>=_xlfn.XLOOKUP(C55,总表!B:B,总表!F:F,无,0)</f>
        <v>234</v>
      </c>
      <c r="I55" s="279">
        <f>=_xlfn.XLOOKUP(C55,总表!B:B,总表!P:P,无,0)</f>
        <v>0</v>
      </c>
      <c r="J55" s="209">
        <v>46100</v>
      </c>
      <c r="K55" s="7" t="s">
        <v>565</v>
      </c>
      <c r="L55" s="7" t="s">
        <v>26</v>
      </c>
      <c r="M55" s="287">
        <v>46105</v>
      </c>
      <c r="N55" s="300" t="s">
        <v>611</v>
      </c>
      <c r="O55" s="301" t="s"/>
      <c r="P55" s="300" t="s">
        <f>=IF(K55&lt;&gt;"",IF(ISBLANK(M55),IF(TODAY()-J55&gt;14,"超时","未超时"),IF(M55-J55&gt;14,"超时","未超时")),"")</f>
        <v>1601</v>
      </c>
      <c r="Q55" s="7" t="s"/>
      <c r="R55" s="290" t="s"/>
      <c r="S55" s="7" t="s"/>
      <c r="T55" s="7" t="s"/>
      <c r="U55" s="7" t="s"/>
      <c r="V55" s="7" t="s"/>
      <c r="W55" s="7" t="s"/>
      <c r="X55" s="7" t="s"/>
      <c r="Y55" s="290" t="s"/>
    </row>
    <row r="56" spans="1:25">
      <c r="A56" s="278">
        <v>55</v>
      </c>
      <c r="B56" s="279">
        <f>=_xlfn.XLOOKUP(C56,总表!B:B,总表!A:A,无,0)</f>
        <v>155</v>
      </c>
      <c r="C56" s="311" t="s">
        <v>81</v>
      </c>
      <c r="D56" s="281" t="s">
        <f>=_xlfn.XLOOKUP(C56,总表!B:B,总表!J:J,无0)</f>
        <v>12</v>
      </c>
      <c r="E56" s="282">
        <f>=_xlfn.XLOOKUP(C56,总表!B:B,总表!L:L,无,0)</f>
        <v>46106</v>
      </c>
      <c r="F56" s="283" t="s">
        <f>=_xlfn.XLOOKUP(C56,总表!B:B,总表!M:M,无,0)</f>
        <v>1009</v>
      </c>
      <c r="G56" s="284">
        <f>=_xlfn.XLOOKUP(C56,总表!B:B,总表!C:C,无,0)</f>
        <v>46093.6319675926</v>
      </c>
      <c r="H56" s="7" t="s">
        <f>=_xlfn.XLOOKUP(C56,总表!B:B,总表!F:F,无,0)</f>
        <v>215</v>
      </c>
      <c r="I56" s="279" t="s">
        <v>1618</v>
      </c>
      <c r="J56" s="209">
        <v>46106</v>
      </c>
      <c r="K56" s="7" t="s">
        <v>565</v>
      </c>
      <c r="L56" s="7" t="s">
        <v>26</v>
      </c>
      <c r="M56" s="287">
        <v>46120</v>
      </c>
      <c r="N56" s="300" t="s">
        <v>611</v>
      </c>
      <c r="O56" s="301" t="s"/>
      <c r="P56" s="300" t="s">
        <f>=IF(K56&lt;&gt;"",IF(ISBLANK(M56),IF(TODAY()-J56&gt;14,"超时","未超时"),IF(M56-J56&gt;14,"超时","未超时")),"")</f>
        <v>1601</v>
      </c>
      <c r="Q56" s="7" t="s"/>
      <c r="R56" s="7" t="s"/>
      <c r="S56" s="306" t="s"/>
      <c r="T56" s="307" t="s"/>
      <c r="U56" s="307" t="s"/>
      <c r="V56" s="307" t="s"/>
      <c r="W56" s="307" t="s"/>
      <c r="X56" s="307" t="s"/>
      <c r="Y56" s="307" t="s"/>
    </row>
    <row r="57" spans="1:25">
      <c r="A57" s="278">
        <v>56</v>
      </c>
      <c r="B57" s="279">
        <f>=_xlfn.XLOOKUP(C57,总表!B:B,总表!A:A,无,0)</f>
        <v>157</v>
      </c>
      <c r="C57" s="325" t="s">
        <v>82</v>
      </c>
      <c r="D57" s="281" t="s">
        <f>=_xlfn.XLOOKUP(C57,总表!B:B,总表!J:J,无0)</f>
        <v>12</v>
      </c>
      <c r="E57" s="282">
        <f>=_xlfn.XLOOKUP(C57,总表!B:B,总表!L:L,无,0)</f>
        <v>46099</v>
      </c>
      <c r="F57" s="283" t="s">
        <f>=_xlfn.XLOOKUP(C57,总表!B:B,总表!M:M,无,0)</f>
        <v>1013</v>
      </c>
      <c r="G57" s="284">
        <f>=_xlfn.XLOOKUP(C57,总表!B:B,总表!C:C,无,0)</f>
        <v>46093.7025578704</v>
      </c>
      <c r="H57" s="7" t="s">
        <f>=_xlfn.XLOOKUP(C57,总表!B:B,总表!F:F,无,0)</f>
        <v>215</v>
      </c>
      <c r="I57" s="11" t="s"/>
      <c r="J57" s="209">
        <v>46099</v>
      </c>
      <c r="K57" s="7" t="s">
        <v>565</v>
      </c>
      <c r="L57" s="7" t="s">
        <v>18</v>
      </c>
      <c r="M57" s="287">
        <v>46112</v>
      </c>
      <c r="N57" s="300" t="s">
        <v>611</v>
      </c>
      <c r="O57" s="301" t="s"/>
      <c r="P57" s="300" t="s">
        <f>=IF(K57&lt;&gt;"",IF(ISBLANK(M57),IF(TODAY()-J57&gt;14,"超时","未超时"),IF(M57-J57&gt;14,"超时","未超时")),"")</f>
        <v>1601</v>
      </c>
      <c r="Q57" s="7" t="s"/>
      <c r="R57" s="290" t="s"/>
      <c r="S57" s="7" t="s"/>
      <c r="T57" s="7" t="s"/>
      <c r="U57" s="7" t="s"/>
      <c r="V57" s="7" t="s"/>
      <c r="W57" s="7" t="s"/>
      <c r="X57" s="7" t="s"/>
      <c r="Y57" s="290" t="s"/>
    </row>
    <row r="58" spans="1:25">
      <c r="A58" s="278">
        <v>57</v>
      </c>
      <c r="B58" s="279">
        <f>=_xlfn.XLOOKUP(C58,总表!B:B,总表!A:A,无,0)</f>
        <v>161</v>
      </c>
      <c r="C58" s="325" t="s">
        <v>83</v>
      </c>
      <c r="D58" s="281" t="s">
        <f>=_xlfn.XLOOKUP(C58,总表!B:B,总表!J:J,无0)</f>
        <v>12</v>
      </c>
      <c r="E58" s="282">
        <f>=_xlfn.XLOOKUP(C58,总表!B:B,总表!L:L,无,0)</f>
        <v>46099</v>
      </c>
      <c r="F58" s="283" t="s">
        <f>=_xlfn.XLOOKUP(C58,总表!B:B,总表!M:M,无,0)</f>
        <v>1020</v>
      </c>
      <c r="G58" s="284">
        <f>=_xlfn.XLOOKUP(C58,总表!B:B,总表!C:C,无,0)</f>
        <v>46094.4524884259</v>
      </c>
      <c r="H58" s="7" t="s">
        <f>=_xlfn.XLOOKUP(C58,总表!B:B,总表!F:F,无,0)</f>
        <v>215</v>
      </c>
      <c r="I58" s="11" t="s"/>
      <c r="J58" s="209">
        <v>46099</v>
      </c>
      <c r="K58" s="326" t="s">
        <v>565</v>
      </c>
      <c r="L58" s="7" t="s">
        <v>18</v>
      </c>
      <c r="M58" s="287">
        <v>46106</v>
      </c>
      <c r="N58" s="300" t="s">
        <v>611</v>
      </c>
      <c r="O58" s="301" t="s"/>
      <c r="P58" s="300" t="s">
        <f>=IF(K58&lt;&gt;"",IF(ISBLANK(M58),IF(TODAY()-J58&gt;14,"超时","未超时"),IF(M58-J58&gt;14,"超时","未超时")),"")</f>
        <v>1601</v>
      </c>
      <c r="Q58" s="7" t="s"/>
      <c r="R58" s="290" t="s"/>
      <c r="S58" s="7" t="s"/>
      <c r="T58" s="7" t="s"/>
      <c r="U58" s="7" t="s"/>
      <c r="V58" s="7" t="s"/>
      <c r="W58" s="7" t="s"/>
      <c r="X58" s="7" t="s"/>
      <c r="Y58" s="290" t="s"/>
    </row>
    <row r="59" spans="1:25">
      <c r="A59" s="278">
        <v>58</v>
      </c>
      <c r="B59" s="279">
        <f>=_xlfn.XLOOKUP(C59,总表!B:B,总表!A:A,无,0)</f>
        <v>163</v>
      </c>
      <c r="C59" s="327" t="s">
        <v>84</v>
      </c>
      <c r="D59" s="281" t="s">
        <f>=_xlfn.XLOOKUP(C59,总表!B:B,总表!J:J,无0)</f>
        <v>12</v>
      </c>
      <c r="E59" s="282">
        <f>=_xlfn.XLOOKUP(C59,总表!B:B,总表!L:L,无,0)</f>
        <v>46098</v>
      </c>
      <c r="F59" s="283" t="s">
        <f>=_xlfn.XLOOKUP(C59,总表!B:B,总表!M:M,无,0)</f>
        <v>647</v>
      </c>
      <c r="G59" s="284">
        <f>=_xlfn.XLOOKUP(C59,总表!B:B,总表!C:C,无,0)</f>
        <v>46094.5514814815</v>
      </c>
      <c r="H59" s="7" t="s">
        <f>=_xlfn.XLOOKUP(C59,总表!B:B,总表!F:F,无,0)</f>
        <v>224</v>
      </c>
      <c r="I59" s="11" t="s"/>
      <c r="J59" s="209">
        <v>46098</v>
      </c>
      <c r="K59" s="7" t="s">
        <v>565</v>
      </c>
      <c r="L59" s="7" t="s">
        <v>35</v>
      </c>
      <c r="M59" s="287">
        <v>46113</v>
      </c>
      <c r="N59" s="300" t="s">
        <v>611</v>
      </c>
      <c r="O59" s="301" t="s"/>
      <c r="P59" s="300" t="s">
        <f>=IF(K59&lt;&gt;"",IF(ISBLANK(M59),IF(TODAY()-J59&gt;14,"超时","未超时"),IF(M59-J59&gt;14,"超时","未超时")),"")</f>
        <v>1609</v>
      </c>
      <c r="Q59" s="7" t="s">
        <v>1619</v>
      </c>
      <c r="R59" s="290" t="s"/>
      <c r="S59" s="7" t="s"/>
      <c r="T59" s="7" t="s"/>
      <c r="U59" s="7" t="s"/>
      <c r="V59" s="7" t="s"/>
      <c r="W59" s="7" t="s"/>
      <c r="X59" s="7" t="s"/>
      <c r="Y59" s="290" t="s"/>
    </row>
    <row r="60" spans="1:25">
      <c r="A60" s="278">
        <v>59</v>
      </c>
      <c r="B60" s="279">
        <f>=_xlfn.XLOOKUP(C60,总表!B:B,总表!A:A,无,0)</f>
        <v>165</v>
      </c>
      <c r="C60" s="327" t="s">
        <v>85</v>
      </c>
      <c r="D60" s="281" t="s">
        <f>=_xlfn.XLOOKUP(C60,总表!B:B,总表!J:J,无0)</f>
        <v>12</v>
      </c>
      <c r="E60" s="282">
        <f>=_xlfn.XLOOKUP(C60,总表!B:B,总表!L:L,无,0)</f>
        <v>46100</v>
      </c>
      <c r="F60" s="283" t="s">
        <f>=_xlfn.XLOOKUP(C60,总表!B:B,总表!M:M,无,0)</f>
        <v>1029</v>
      </c>
      <c r="G60" s="284">
        <f>=_xlfn.XLOOKUP(C60,总表!B:B,总表!C:C,无,0)</f>
        <v>46094.6848842593</v>
      </c>
      <c r="H60" s="7" t="s">
        <f>=_xlfn.XLOOKUP(C60,总表!B:B,总表!F:F,无,0)</f>
        <v>236</v>
      </c>
      <c r="I60" s="11" t="s"/>
      <c r="J60" s="209">
        <v>46101</v>
      </c>
      <c r="K60" s="7" t="s">
        <v>565</v>
      </c>
      <c r="L60" s="7" t="s">
        <v>26</v>
      </c>
      <c r="M60" s="287">
        <v>46121</v>
      </c>
      <c r="N60" s="300" t="s">
        <v>611</v>
      </c>
      <c r="O60" s="301" t="s"/>
      <c r="P60" s="300" t="s">
        <f>=IF(K60&lt;&gt;"",IF(ISBLANK(M60),IF(TODAY()-J60&gt;14,"超时","未超时"),IF(M60-J60&gt;14,"超时","未超时")),"")</f>
        <v>1609</v>
      </c>
      <c r="Q60" s="7" t="s">
        <v>1620</v>
      </c>
      <c r="R60" s="290" t="s"/>
      <c r="S60" s="7" t="s"/>
      <c r="T60" s="7" t="s"/>
      <c r="U60" s="7" t="s"/>
      <c r="V60" s="7" t="s"/>
      <c r="W60" s="7" t="s"/>
      <c r="X60" s="7" t="s"/>
      <c r="Y60" s="290" t="s"/>
    </row>
    <row r="61" spans="1:25">
      <c r="A61" s="278">
        <v>60</v>
      </c>
      <c r="B61" s="279">
        <f>=_xlfn.XLOOKUP(C61,总表!B:B,总表!A:A,无,0)</f>
        <v>166</v>
      </c>
      <c r="C61" s="325" t="s">
        <v>86</v>
      </c>
      <c r="D61" s="281" t="s">
        <f>=_xlfn.XLOOKUP(C61,总表!B:B,总表!J:J,无0)</f>
        <v>15</v>
      </c>
      <c r="E61" s="282">
        <f>=_xlfn.XLOOKUP(C61,总表!B:B,总表!L:L,无,0)</f>
        <v>46098</v>
      </c>
      <c r="F61" s="283" t="s">
        <f>=_xlfn.XLOOKUP(C61,总表!B:B,总表!M:M,无,0)</f>
        <v>818</v>
      </c>
      <c r="G61" s="284">
        <f>=_xlfn.XLOOKUP(C61,总表!B:B,总表!C:C,无,0)</f>
        <v>46094.6700347222</v>
      </c>
      <c r="H61" s="7" t="s">
        <f>=_xlfn.XLOOKUP(C61,总表!B:B,总表!F:F,无,0)</f>
        <v>215</v>
      </c>
      <c r="I61" s="11" t="s"/>
      <c r="J61" s="209">
        <v>46098</v>
      </c>
      <c r="K61" s="7" t="s">
        <v>565</v>
      </c>
      <c r="L61" s="7" t="s">
        <v>87</v>
      </c>
      <c r="M61" s="287">
        <v>46106</v>
      </c>
      <c r="N61" s="300" t="s">
        <v>611</v>
      </c>
      <c r="O61" s="301" t="s"/>
      <c r="P61" s="300" t="s">
        <f>=IF(K61&lt;&gt;"",IF(ISBLANK(M61),IF(TODAY()-J61&gt;14,"超时","未超时"),IF(M61-J61&gt;14,"超时","未超时")),"")</f>
        <v>1601</v>
      </c>
      <c r="Q61" s="7" t="s"/>
      <c r="R61" s="290" t="s"/>
      <c r="S61" s="7" t="s"/>
      <c r="T61" s="7" t="s"/>
      <c r="U61" s="7" t="s"/>
      <c r="V61" s="7" t="s"/>
      <c r="W61" s="7" t="s"/>
      <c r="X61" s="7" t="s"/>
      <c r="Y61" s="290" t="s"/>
    </row>
    <row r="62" spans="1:25">
      <c r="A62" s="278">
        <v>61</v>
      </c>
      <c r="B62" s="279">
        <f>=_xlfn.XLOOKUP(C62,总表!B:B,总表!A:A,无,0)</f>
        <v>168</v>
      </c>
      <c r="C62" s="325" t="s">
        <v>88</v>
      </c>
      <c r="D62" s="281" t="s">
        <f>=_xlfn.XLOOKUP(C62,总表!B:B,总表!J:J,无0)</f>
        <v>15</v>
      </c>
      <c r="E62" s="282">
        <f>=_xlfn.XLOOKUP(C62,总表!B:B,总表!L:L,无,0)</f>
        <v>46097</v>
      </c>
      <c r="F62" s="283" t="s">
        <f>=_xlfn.XLOOKUP(C62,总表!B:B,总表!M:M,无,0)</f>
        <v>1034</v>
      </c>
      <c r="G62" s="284">
        <f>=_xlfn.XLOOKUP(C62,总表!B:B,总表!C:C,无,0)</f>
        <v>46094.6540972222</v>
      </c>
      <c r="H62" s="7" t="s">
        <f>=_xlfn.XLOOKUP(C62,总表!B:B,总表!F:F,无,0)</f>
        <v>224</v>
      </c>
      <c r="I62" s="11" t="s"/>
      <c r="J62" s="209">
        <v>46097</v>
      </c>
      <c r="K62" s="7" t="s">
        <v>565</v>
      </c>
      <c r="L62" s="7" t="s">
        <v>89</v>
      </c>
      <c r="M62" s="287">
        <v>46104</v>
      </c>
      <c r="N62" s="300" t="s">
        <v>611</v>
      </c>
      <c r="O62" s="301" t="s"/>
      <c r="P62" s="300" t="s">
        <f>=IF(K62&lt;&gt;"",IF(ISBLANK(M62),IF(TODAY()-J62&gt;14,"超时","未超时"),IF(M62-J62&gt;14,"超时","未超时")),"")</f>
        <v>1601</v>
      </c>
      <c r="Q62" s="7" t="s"/>
      <c r="R62" s="290" t="s"/>
      <c r="S62" s="7" t="s"/>
      <c r="T62" s="7" t="s"/>
      <c r="U62" s="7" t="s"/>
      <c r="V62" s="7" t="s"/>
      <c r="W62" s="7" t="s"/>
      <c r="X62" s="7" t="s"/>
      <c r="Y62" s="290" t="s"/>
    </row>
    <row r="63" spans="1:25">
      <c r="A63" s="278">
        <v>62</v>
      </c>
      <c r="B63" s="279">
        <f>=_xlfn.XLOOKUP(C63,总表!B:B,总表!A:A,无,0)</f>
        <v>171</v>
      </c>
      <c r="C63" s="325" t="s">
        <v>90</v>
      </c>
      <c r="D63" s="281" t="s">
        <f>=_xlfn.XLOOKUP(C63,总表!B:B,总表!J:J,无0)</f>
        <v>12</v>
      </c>
      <c r="E63" s="282">
        <f>=_xlfn.XLOOKUP(C63,总表!B:B,总表!L:L,无,0)</f>
        <v>46097</v>
      </c>
      <c r="F63" s="283" t="s">
        <f>=_xlfn.XLOOKUP(C63,总表!B:B,总表!M:M,无,0)</f>
        <v>1039</v>
      </c>
      <c r="G63" s="284">
        <f>=_xlfn.XLOOKUP(C63,总表!B:B,总表!C:C,无,0)</f>
        <v>46094.7055671296</v>
      </c>
      <c r="H63" s="7" t="s">
        <f>=_xlfn.XLOOKUP(C63,总表!B:B,总表!F:F,无,0)</f>
        <v>234</v>
      </c>
      <c r="I63" s="11" t="s"/>
      <c r="J63" s="209">
        <v>46097</v>
      </c>
      <c r="K63" s="7" t="s">
        <v>565</v>
      </c>
      <c r="L63" s="7" t="s">
        <v>26</v>
      </c>
      <c r="M63" s="287">
        <v>46104</v>
      </c>
      <c r="N63" s="300" t="s">
        <v>611</v>
      </c>
      <c r="O63" s="301" t="s"/>
      <c r="P63" s="300" t="s">
        <f>=IF(K63&lt;&gt;"",IF(ISBLANK(M63),IF(TODAY()-J63&gt;14,"超时","未超时"),IF(M63-J63&gt;14,"超时","未超时")),"")</f>
        <v>1601</v>
      </c>
      <c r="Q63" s="7" t="s"/>
      <c r="R63" s="290" t="s"/>
      <c r="S63" s="7" t="s"/>
      <c r="T63" s="7" t="s"/>
      <c r="U63" s="7" t="s"/>
      <c r="V63" s="7" t="s"/>
      <c r="W63" s="7" t="s"/>
      <c r="X63" s="7" t="s"/>
      <c r="Y63" s="290" t="s"/>
    </row>
    <row r="64" spans="1:25">
      <c r="A64" s="278">
        <v>63</v>
      </c>
      <c r="B64" s="279">
        <f>=_xlfn.XLOOKUP(C64,总表!B:B,总表!A:A,无,0)</f>
        <v>174</v>
      </c>
      <c r="C64" s="328" t="s">
        <v>91</v>
      </c>
      <c r="D64" s="281" t="s">
        <f>=_xlfn.XLOOKUP(C64,总表!B:B,总表!J:J,无0)</f>
        <v>12</v>
      </c>
      <c r="E64" s="282">
        <f>=_xlfn.XLOOKUP(C64,总表!B:B,总表!L:L,无,0)</f>
        <v>46099</v>
      </c>
      <c r="F64" s="283" t="s">
        <f>=_xlfn.XLOOKUP(C64,总表!B:B,总表!M:M,无,0)</f>
        <v>1029</v>
      </c>
      <c r="G64" s="284">
        <f>=_xlfn.XLOOKUP(C64,总表!B:B,总表!C:C,无,0)</f>
        <v>46093.7365162037</v>
      </c>
      <c r="H64" s="7" t="s">
        <f>=_xlfn.XLOOKUP(C64,总表!B:B,总表!F:F,无,0)</f>
        <v>224</v>
      </c>
      <c r="I64" s="11" t="s"/>
      <c r="J64" s="209">
        <v>46099</v>
      </c>
      <c r="K64" s="7" t="s">
        <v>565</v>
      </c>
      <c r="L64" s="7" t="s">
        <v>26</v>
      </c>
      <c r="M64" s="287">
        <v>46114</v>
      </c>
      <c r="N64" s="300" t="s">
        <v>611</v>
      </c>
      <c r="O64" s="301" t="s"/>
      <c r="P64" s="300" t="s">
        <f>=IF(K64&lt;&gt;"",IF(ISBLANK(M64),IF(TODAY()-J64&gt;14,"超时","未超时"),IF(M64-J64&gt;14,"超时","未超时")),"")</f>
        <v>1609</v>
      </c>
      <c r="Q64" s="7" t="s">
        <v>1621</v>
      </c>
      <c r="R64" s="290" t="s"/>
      <c r="S64" s="7" t="s"/>
      <c r="T64" s="7" t="s"/>
      <c r="U64" s="7" t="s"/>
      <c r="V64" s="7" t="s"/>
      <c r="W64" s="7" t="s"/>
      <c r="X64" s="7" t="s"/>
      <c r="Y64" s="290" t="s"/>
    </row>
    <row r="65" spans="1:25">
      <c r="A65" s="278">
        <v>64</v>
      </c>
      <c r="B65" s="279">
        <f>=_xlfn.XLOOKUP(C65,总表!B:B,总表!A:A,无,0)</f>
        <v>178</v>
      </c>
      <c r="C65" s="329" t="s">
        <v>92</v>
      </c>
      <c r="D65" s="281" t="s">
        <f>=_xlfn.XLOOKUP(C65,总表!B:B,总表!J:J,无0)</f>
        <v>12</v>
      </c>
      <c r="E65" s="282">
        <f>=_xlfn.XLOOKUP(C65,总表!B:B,总表!L:L,无,0)</f>
        <v>46097</v>
      </c>
      <c r="F65" s="283" t="s">
        <f>=_xlfn.XLOOKUP(C65,总表!B:B,总表!M:M,无,0)</f>
        <v>1013</v>
      </c>
      <c r="G65" s="284">
        <f>=_xlfn.XLOOKUP(C65,总表!B:B,总表!C:C,无,0)</f>
        <v>46095.5993287037</v>
      </c>
      <c r="H65" s="7" t="s">
        <f>=_xlfn.XLOOKUP(C65,总表!B:B,总表!F:F,无,0)</f>
        <v>224</v>
      </c>
      <c r="I65" s="11" t="s"/>
      <c r="J65" s="209">
        <v>46097</v>
      </c>
      <c r="K65" s="7" t="s">
        <v>565</v>
      </c>
      <c r="L65" s="7" t="s">
        <v>35</v>
      </c>
      <c r="M65" s="287">
        <v>46111</v>
      </c>
      <c r="N65" s="300" t="s">
        <v>611</v>
      </c>
      <c r="O65" s="301" t="s"/>
      <c r="P65" s="300" t="s">
        <f>=IF(K65&lt;&gt;"",IF(ISBLANK(M65),IF(TODAY()-J65&gt;14,"超时","未超时"),IF(M65-J65&gt;14,"超时","未超时")),"")</f>
        <v>1601</v>
      </c>
      <c r="Q65" s="7" t="s"/>
      <c r="R65" s="290" t="s"/>
      <c r="S65" s="7" t="s"/>
      <c r="T65" s="7" t="s"/>
      <c r="U65" s="7" t="s"/>
      <c r="V65" s="7" t="s"/>
      <c r="W65" s="7" t="s"/>
      <c r="X65" s="7" t="s"/>
      <c r="Y65" s="290" t="s"/>
    </row>
    <row r="66" spans="1:25">
      <c r="A66" s="278">
        <v>65</v>
      </c>
      <c r="B66" s="279">
        <f>=_xlfn.XLOOKUP(C66,总表!B:B,总表!A:A,无,0)</f>
        <v>181</v>
      </c>
      <c r="C66" s="330" t="s">
        <v>93</v>
      </c>
      <c r="D66" s="281" t="s">
        <f>=_xlfn.XLOOKUP(C66,总表!B:B,总表!J:J,无0)</f>
        <v>12</v>
      </c>
      <c r="E66" s="282">
        <f>=_xlfn.XLOOKUP(C66,总表!B:B,总表!L:L,无,0)</f>
        <v>0</v>
      </c>
      <c r="F66" s="283">
        <f>=_xlfn.XLOOKUP(C66,总表!B:B,总表!M:M,无,0)</f>
        <v>0</v>
      </c>
      <c r="G66" s="284">
        <f>=_xlfn.XLOOKUP(C66,总表!B:B,总表!C:C,无,0)</f>
        <v>46094.7617361111</v>
      </c>
      <c r="H66" s="7" t="s">
        <f>=_xlfn.XLOOKUP(C66,总表!B:B,总表!F:F,无,0)</f>
        <v>224</v>
      </c>
      <c r="I66" s="11" t="s"/>
      <c r="J66" s="209" t="s"/>
      <c r="K66" s="7" t="s"/>
      <c r="L66" s="7" t="s"/>
      <c r="M66" s="287" t="s"/>
      <c r="N66" s="300" t="s"/>
      <c r="O66" s="301" t="s"/>
      <c r="P66" s="300" t="s">
        <f>=IF(K66&lt;&gt;"",IF(ISBLANK(M66),IF(TODAY()-J66&gt;14,"超时","未超时"),IF(M66-J66&gt;14,"超时","未超时")),"")</f>
      </c>
      <c r="Q66" s="7" t="s"/>
      <c r="R66" s="7" t="s"/>
      <c r="S66" s="320" t="s"/>
      <c r="T66" s="307" t="s"/>
      <c r="U66" s="307" t="s"/>
      <c r="V66" s="307" t="s"/>
      <c r="W66" s="307" t="s"/>
      <c r="X66" s="307" t="s"/>
      <c r="Y66" s="307" t="s"/>
    </row>
    <row r="67" spans="1:25">
      <c r="A67" s="278">
        <v>66</v>
      </c>
      <c r="B67" s="279">
        <f>=_xlfn.XLOOKUP(C67,总表!B:B,总表!A:A,无,0)</f>
        <v>192</v>
      </c>
      <c r="C67" s="325" t="s">
        <v>94</v>
      </c>
      <c r="D67" s="281" t="s">
        <f>=_xlfn.XLOOKUP(C67,总表!B:B,总表!J:J,无0)</f>
        <v>15</v>
      </c>
      <c r="E67" s="282">
        <f>=_xlfn.XLOOKUP(C67,总表!B:B,总表!L:L,无,0)</f>
        <v>46112</v>
      </c>
      <c r="F67" s="283" t="s">
        <f>=_xlfn.XLOOKUP(C67,总表!B:B,总表!M:M,无,0)</f>
        <v>722</v>
      </c>
      <c r="G67" s="284">
        <f>=_xlfn.XLOOKUP(C67,总表!B:B,总表!C:C,无,0)</f>
        <v>46094.7614467593</v>
      </c>
      <c r="H67" s="7" t="s">
        <f>=_xlfn.XLOOKUP(C67,总表!B:B,总表!F:F,无,0)</f>
        <v>215</v>
      </c>
      <c r="I67" s="279" t="s">
        <v>1617</v>
      </c>
      <c r="J67" s="209">
        <v>46112</v>
      </c>
      <c r="K67" s="326" t="s">
        <v>565</v>
      </c>
      <c r="L67" s="7" t="s">
        <v>95</v>
      </c>
      <c r="M67" s="287" t="s"/>
      <c r="N67" s="300" t="s">
        <v>1608</v>
      </c>
      <c r="O67" s="301" t="s"/>
      <c r="P67" s="300" t="s">
        <f>=IF(K67&lt;&gt;"",IF(ISBLANK(M67),IF(TODAY()-J67&gt;14,"超时","未超时"),IF(M67-J67&gt;14,"超时","未超时")),"")</f>
        <v>1601</v>
      </c>
      <c r="Q67" s="7" t="s"/>
      <c r="R67" s="7" t="s"/>
      <c r="S67" s="7" t="s"/>
      <c r="T67" s="307" t="s"/>
      <c r="U67" s="307" t="s"/>
      <c r="V67" s="307" t="s"/>
      <c r="W67" s="307" t="s"/>
      <c r="X67" s="307" t="s"/>
      <c r="Y67" s="307" t="s"/>
    </row>
    <row r="68" spans="1:25">
      <c r="A68" s="278">
        <v>67</v>
      </c>
      <c r="B68" s="279">
        <f>=_xlfn.XLOOKUP(C68,总表!B:B,总表!A:A,无,0)</f>
        <v>193</v>
      </c>
      <c r="C68" s="331" t="s">
        <v>96</v>
      </c>
      <c r="D68" s="281" t="s">
        <f>=_xlfn.XLOOKUP(C68,总表!B:B,总表!J:J,无0)</f>
        <v>12</v>
      </c>
      <c r="E68" s="282">
        <f>=_xlfn.XLOOKUP(C68,总表!B:B,总表!L:L,无,0)</f>
        <v>0</v>
      </c>
      <c r="F68" s="283">
        <f>=_xlfn.XLOOKUP(C68,总表!B:B,总表!M:M,无,0)</f>
        <v>0</v>
      </c>
      <c r="G68" s="284">
        <f>=_xlfn.XLOOKUP(C68,总表!B:B,总表!C:C,无,0)</f>
        <v>46094.7496296296</v>
      </c>
      <c r="H68" s="7" t="s">
        <f>=_xlfn.XLOOKUP(C68,总表!B:B,总表!F:F,无,0)</f>
        <v>215</v>
      </c>
      <c r="I68" s="11" t="s"/>
      <c r="J68" s="209" t="s"/>
      <c r="K68" s="7" t="s"/>
      <c r="L68" s="7" t="s"/>
      <c r="M68" s="287" t="s"/>
      <c r="N68" s="300" t="s"/>
      <c r="O68" s="301" t="s"/>
      <c r="P68" s="300" t="s">
        <f>=IF(K68&lt;&gt;"",IF(ISBLANK(M68),IF(TODAY()-J68&gt;14,"超时","未超时"),IF(M68-J68&gt;14,"超时","未超时")),"")</f>
      </c>
      <c r="Q68" s="7" t="s"/>
      <c r="R68" s="7" t="s"/>
      <c r="S68" s="322" t="s"/>
      <c r="T68" s="307" t="s"/>
      <c r="U68" s="307" t="s"/>
      <c r="V68" s="307" t="s"/>
      <c r="W68" s="307" t="s"/>
      <c r="X68" s="307" t="s"/>
      <c r="Y68" s="307" t="s"/>
    </row>
    <row r="69" spans="1:25">
      <c r="A69" s="278">
        <v>68</v>
      </c>
      <c r="B69" s="279">
        <f>=_xlfn.XLOOKUP(C69,总表!B:B,总表!A:A,无,0)</f>
        <v>194</v>
      </c>
      <c r="C69" s="325" t="s">
        <v>97</v>
      </c>
      <c r="D69" s="281" t="s">
        <f>=_xlfn.XLOOKUP(C69,总表!B:B,总表!J:J,无0)</f>
        <v>12</v>
      </c>
      <c r="E69" s="282">
        <f>=_xlfn.XLOOKUP(C69,总表!B:B,总表!L:L,无,0)</f>
        <v>46101</v>
      </c>
      <c r="F69" s="283" t="s">
        <f>=_xlfn.XLOOKUP(C69,总表!B:B,总表!M:M,无,0)</f>
        <v>610</v>
      </c>
      <c r="G69" s="284">
        <f>=_xlfn.XLOOKUP(C69,总表!B:B,总表!C:C,无,0)</f>
        <v>46094.7424768519</v>
      </c>
      <c r="H69" s="7" t="s">
        <f>=_xlfn.XLOOKUP(C69,总表!B:B,总表!F:F,无,0)</f>
        <v>215</v>
      </c>
      <c r="I69" s="11" t="s"/>
      <c r="J69" s="209">
        <v>46101</v>
      </c>
      <c r="K69" s="7" t="s">
        <v>565</v>
      </c>
      <c r="L69" s="7" t="s">
        <v>26</v>
      </c>
      <c r="M69" s="287">
        <v>46106</v>
      </c>
      <c r="N69" s="300" t="s">
        <v>611</v>
      </c>
      <c r="O69" s="301" t="s"/>
      <c r="P69" s="300" t="s">
        <f>=IF(K69&lt;&gt;"",IF(ISBLANK(M69),IF(TODAY()-J69&gt;14,"超时","未超时"),IF(M69-J69&gt;14,"超时","未超时")),"")</f>
        <v>1601</v>
      </c>
      <c r="Q69" s="7" t="s"/>
      <c r="R69" s="290" t="s"/>
      <c r="S69" s="7" t="s"/>
      <c r="T69" s="7" t="s"/>
      <c r="U69" s="7" t="s"/>
      <c r="V69" s="7" t="s"/>
      <c r="W69" s="7" t="s"/>
      <c r="X69" s="7" t="s"/>
      <c r="Y69" s="290" t="s"/>
    </row>
    <row r="70" spans="1:25">
      <c r="A70" s="278">
        <v>69</v>
      </c>
      <c r="B70" s="279">
        <f>=_xlfn.XLOOKUP(C70,总表!B:B,总表!A:A,无,0)</f>
        <v>197</v>
      </c>
      <c r="C70" s="325" t="s">
        <v>98</v>
      </c>
      <c r="D70" s="281" t="s">
        <f>=_xlfn.XLOOKUP(C70,总表!B:B,总表!J:J,无0)</f>
        <v>12</v>
      </c>
      <c r="E70" s="282">
        <f>=_xlfn.XLOOKUP(C70,总表!B:B,总表!L:L,无,0)</f>
        <v>46099</v>
      </c>
      <c r="F70" s="283" t="s">
        <f>=_xlfn.XLOOKUP(C70,总表!B:B,总表!M:M,无,0)</f>
        <v>610</v>
      </c>
      <c r="G70" s="284">
        <f>=_xlfn.XLOOKUP(C70,总表!B:B,总表!C:C,无,0)</f>
        <v>46094.7100694444</v>
      </c>
      <c r="H70" s="7" t="s">
        <f>=_xlfn.XLOOKUP(C70,总表!B:B,总表!F:F,无,0)</f>
        <v>234</v>
      </c>
      <c r="I70" s="11" t="s"/>
      <c r="J70" s="209">
        <v>46099</v>
      </c>
      <c r="K70" s="7" t="s">
        <v>565</v>
      </c>
      <c r="L70" s="7" t="s">
        <v>26</v>
      </c>
      <c r="M70" s="287">
        <v>46108</v>
      </c>
      <c r="N70" s="300" t="s">
        <v>611</v>
      </c>
      <c r="O70" s="301" t="s"/>
      <c r="P70" s="300" t="s">
        <f>=IF(K70&lt;&gt;"",IF(ISBLANK(M70),IF(TODAY()-J70&gt;14,"超时","未超时"),IF(M70-J70&gt;14,"超时","未超时")),"")</f>
        <v>1601</v>
      </c>
      <c r="Q70" s="7" t="s"/>
      <c r="R70" s="290" t="s"/>
      <c r="S70" s="7" t="s"/>
      <c r="T70" s="7" t="s"/>
      <c r="U70" s="7" t="s"/>
      <c r="V70" s="7" t="s"/>
      <c r="W70" s="7" t="s"/>
      <c r="X70" s="7" t="s"/>
      <c r="Y70" s="290" t="s"/>
    </row>
    <row r="71" spans="1:25">
      <c r="A71" s="278">
        <v>70</v>
      </c>
      <c r="B71" s="279">
        <f>=_xlfn.XLOOKUP(C71,总表!B:B,总表!A:A,无,0)</f>
        <v>182</v>
      </c>
      <c r="C71" s="332" t="s">
        <v>99</v>
      </c>
      <c r="D71" s="281" t="s">
        <f>=_xlfn.XLOOKUP(C71,总表!B:B,总表!J:J,无0)</f>
        <v>12</v>
      </c>
      <c r="E71" s="282">
        <f>=_xlfn.XLOOKUP(C71,总表!B:B,总表!L:L,无,0)</f>
        <v>46100</v>
      </c>
      <c r="F71" s="283" t="s">
        <f>=_xlfn.XLOOKUP(C71,总表!B:B,总表!M:M,无,0)</f>
        <v>1059</v>
      </c>
      <c r="G71" s="284">
        <f>=_xlfn.XLOOKUP(C71,总表!B:B,总表!C:C,无,0)</f>
        <v>46094.7449421296</v>
      </c>
      <c r="H71" s="7" t="s">
        <f>=_xlfn.XLOOKUP(C71,总表!B:B,总表!F:F,无,0)</f>
        <v>236</v>
      </c>
      <c r="I71" s="11" t="s"/>
      <c r="J71" s="209">
        <v>46100</v>
      </c>
      <c r="K71" s="7" t="s">
        <v>565</v>
      </c>
      <c r="L71" s="7" t="s">
        <v>18</v>
      </c>
      <c r="M71" s="287">
        <v>46111</v>
      </c>
      <c r="N71" s="300" t="s">
        <v>611</v>
      </c>
      <c r="O71" s="301" t="s"/>
      <c r="P71" s="300" t="s">
        <f>=IF(K71&lt;&gt;"",IF(ISBLANK(M71),IF(TODAY()-J71&gt;14,"超时","未超时"),IF(M71-J71&gt;14,"超时","未超时")),"")</f>
        <v>1601</v>
      </c>
      <c r="Q71" s="7" t="s"/>
      <c r="R71" s="290" t="s"/>
      <c r="S71" s="7" t="s"/>
      <c r="T71" s="7" t="s"/>
      <c r="U71" s="7" t="s"/>
      <c r="V71" s="7" t="s"/>
      <c r="W71" s="7" t="s"/>
      <c r="X71" s="7" t="s"/>
      <c r="Y71" s="290" t="s"/>
    </row>
    <row r="72" spans="1:25">
      <c r="A72" s="278">
        <v>71</v>
      </c>
      <c r="B72" s="279">
        <f>=_xlfn.XLOOKUP(C72,总表!B:B,总表!A:A,无,0)</f>
        <v>203</v>
      </c>
      <c r="C72" s="333" t="s">
        <v>100</v>
      </c>
      <c r="D72" s="281" t="s">
        <f>=_xlfn.XLOOKUP(C72,总表!B:B,总表!J:J,无0)</f>
        <v>12</v>
      </c>
      <c r="E72" s="282">
        <f>=_xlfn.XLOOKUP(C72,总表!B:B,总表!L:L,无,0)</f>
        <v>46099</v>
      </c>
      <c r="F72" s="283" t="s">
        <f>=_xlfn.XLOOKUP(C72,总表!B:B,总表!M:M,无,0)</f>
        <v>1097</v>
      </c>
      <c r="G72" s="284">
        <f>=_xlfn.XLOOKUP(C72,总表!B:B,总表!C:C,无,0)</f>
        <v>46097.4398611111</v>
      </c>
      <c r="H72" s="7" t="s">
        <f>=_xlfn.XLOOKUP(C72,总表!B:B,总表!F:F,无,0)</f>
        <v>224</v>
      </c>
      <c r="I72" s="11" t="s"/>
      <c r="J72" s="209">
        <v>46099</v>
      </c>
      <c r="K72" s="7" t="s">
        <v>565</v>
      </c>
      <c r="L72" s="7" t="s">
        <v>26</v>
      </c>
      <c r="M72" s="287">
        <v>46106</v>
      </c>
      <c r="N72" s="300" t="s">
        <v>611</v>
      </c>
      <c r="O72" s="301" t="s"/>
      <c r="P72" s="300" t="s">
        <f>=IF(K72&lt;&gt;"",IF(ISBLANK(M72),IF(TODAY()-J72&gt;14,"超时","未超时"),IF(M72-J72&gt;14,"超时","未超时")),"")</f>
        <v>1601</v>
      </c>
      <c r="Q72" s="7" t="s"/>
      <c r="R72" s="290" t="s"/>
      <c r="S72" s="7" t="s"/>
      <c r="T72" s="7" t="s"/>
      <c r="U72" s="7" t="s"/>
      <c r="V72" s="7" t="s"/>
      <c r="W72" s="7" t="s"/>
      <c r="X72" s="7" t="s"/>
      <c r="Y72" s="290" t="s"/>
    </row>
    <row r="73" spans="1:25">
      <c r="A73" s="278">
        <v>72</v>
      </c>
      <c r="B73" s="279">
        <f>=_xlfn.XLOOKUP(C73,总表!B:B,总表!A:A,无,0)</f>
        <v>204</v>
      </c>
      <c r="C73" s="334" t="s">
        <v>101</v>
      </c>
      <c r="D73" s="281" t="s">
        <f>=_xlfn.XLOOKUP(C73,总表!B:B,总表!J:J,无0)</f>
        <v>15</v>
      </c>
      <c r="E73" s="282">
        <f>=_xlfn.XLOOKUP(C73,总表!B:B,总表!L:L,无,0)</f>
        <v>46100</v>
      </c>
      <c r="F73" s="283" t="s">
        <f>=_xlfn.XLOOKUP(C73,总表!B:B,总表!M:M,无,0)</f>
        <v>1099</v>
      </c>
      <c r="G73" s="284">
        <f>=_xlfn.XLOOKUP(C73,总表!B:B,总表!C:C,无,0)</f>
        <v>46097.6298611111</v>
      </c>
      <c r="H73" s="7" t="s">
        <f>=_xlfn.XLOOKUP(C73,总表!B:B,总表!F:F,无,0)</f>
        <v>236</v>
      </c>
      <c r="I73" s="11" t="s"/>
      <c r="J73" s="209">
        <v>46101</v>
      </c>
      <c r="K73" s="7" t="s">
        <v>565</v>
      </c>
      <c r="L73" s="7" t="s">
        <v>50</v>
      </c>
      <c r="M73" s="287">
        <v>46105</v>
      </c>
      <c r="N73" s="300" t="s">
        <v>611</v>
      </c>
      <c r="O73" s="301" t="s"/>
      <c r="P73" s="300" t="s">
        <f>=IF(K73&lt;&gt;"",IF(ISBLANK(M73),IF(TODAY()-J73&gt;14,"超时","未超时"),IF(M73-J73&gt;14,"超时","未超时")),"")</f>
        <v>1601</v>
      </c>
      <c r="Q73" s="7" t="s"/>
      <c r="R73" s="290" t="s"/>
      <c r="S73" s="7" t="s"/>
      <c r="T73" s="7" t="s"/>
      <c r="U73" s="7" t="s"/>
      <c r="V73" s="7" t="s"/>
      <c r="W73" s="7" t="s"/>
      <c r="X73" s="7" t="s"/>
      <c r="Y73" s="290" t="s"/>
    </row>
    <row r="74" spans="1:25">
      <c r="A74" s="278">
        <v>73</v>
      </c>
      <c r="B74" s="279">
        <f>=_xlfn.XLOOKUP(C74,总表!B:B,总表!A:A,无,0)</f>
        <v>208</v>
      </c>
      <c r="C74" s="335" t="s">
        <v>102</v>
      </c>
      <c r="D74" s="281" t="s">
        <f>=_xlfn.XLOOKUP(C74,总表!B:B,总表!J:J,无0)</f>
        <v>12</v>
      </c>
      <c r="E74" s="282">
        <f>=_xlfn.XLOOKUP(C74,总表!B:B,总表!L:L,无,0)</f>
        <v>46099</v>
      </c>
      <c r="F74" s="283" t="s">
        <f>=_xlfn.XLOOKUP(C74,总表!B:B,总表!M:M,无,0)</f>
        <v>610</v>
      </c>
      <c r="G74" s="284">
        <f>=_xlfn.XLOOKUP(C74,总表!B:B,总表!C:C,无,0)</f>
        <v>46097.7416666667</v>
      </c>
      <c r="H74" s="7" t="s">
        <f>=_xlfn.XLOOKUP(C74,总表!B:B,总表!F:F,无,0)</f>
        <v>215</v>
      </c>
      <c r="I74" s="11" t="s"/>
      <c r="J74" s="209">
        <v>46100</v>
      </c>
      <c r="K74" s="7" t="s">
        <v>565</v>
      </c>
      <c r="L74" s="7" t="s">
        <v>18</v>
      </c>
      <c r="M74" s="287">
        <v>46104</v>
      </c>
      <c r="N74" s="300" t="s">
        <v>611</v>
      </c>
      <c r="O74" s="301" t="s"/>
      <c r="P74" s="300" t="s">
        <f>=IF(K74&lt;&gt;"",IF(ISBLANK(M74),IF(TODAY()-J74&gt;14,"超时","未超时"),IF(M74-J74&gt;14,"超时","未超时")),"")</f>
        <v>1601</v>
      </c>
      <c r="Q74" s="7" t="s"/>
      <c r="R74" s="290" t="s"/>
      <c r="S74" s="7" t="s"/>
      <c r="T74" s="7" t="s"/>
      <c r="U74" s="7" t="s"/>
      <c r="V74" s="7" t="s"/>
      <c r="W74" s="7" t="s"/>
      <c r="X74" s="7" t="s"/>
      <c r="Y74" s="290" t="s"/>
    </row>
    <row r="75" spans="1:25">
      <c r="A75" s="278">
        <v>74</v>
      </c>
      <c r="B75" s="279">
        <f>=_xlfn.XLOOKUP(C75,总表!B:B,总表!A:A,无,0)</f>
        <v>211</v>
      </c>
      <c r="C75" s="332" t="s">
        <v>103</v>
      </c>
      <c r="D75" s="281" t="s">
        <f>=_xlfn.XLOOKUP(C75,总表!B:B,总表!J:J,无0)</f>
        <v>12</v>
      </c>
      <c r="E75" s="282">
        <f>=_xlfn.XLOOKUP(C75,总表!B:B,总表!L:L,无,0)</f>
        <v>46099</v>
      </c>
      <c r="F75" s="283" t="s">
        <f>=_xlfn.XLOOKUP(C75,总表!B:B,总表!M:M,无,0)</f>
        <v>1108</v>
      </c>
      <c r="G75" s="284">
        <f>=_xlfn.XLOOKUP(C75,总表!B:B,总表!C:C,无,0)</f>
        <v>46098.4020370371</v>
      </c>
      <c r="H75" s="7" t="s">
        <f>=_xlfn.XLOOKUP(C75,总表!B:B,总表!F:F,无,0)</f>
        <v>224</v>
      </c>
      <c r="I75" s="11" t="s"/>
      <c r="J75" s="209">
        <v>46099</v>
      </c>
      <c r="K75" s="7" t="s">
        <v>565</v>
      </c>
      <c r="L75" s="7" t="s">
        <v>35</v>
      </c>
      <c r="M75" s="287">
        <v>46114</v>
      </c>
      <c r="N75" s="300" t="s">
        <v>611</v>
      </c>
      <c r="O75" s="315" t="s"/>
      <c r="P75" s="316" t="s">
        <f>=IF(K75&lt;&gt;"",IF(ISBLANK(M75),IF(TODAY()-J75&gt;14,"超时","未超时"),IF(M75-J75&gt;14,"超时","未超时")),"")</f>
        <v>1609</v>
      </c>
      <c r="Q75" s="7" t="s">
        <v>1619</v>
      </c>
      <c r="R75" s="290" t="s"/>
      <c r="S75" s="7" t="s"/>
      <c r="T75" s="7" t="s"/>
      <c r="U75" s="7" t="s"/>
      <c r="V75" s="7" t="s"/>
      <c r="W75" s="7" t="s"/>
      <c r="X75" s="7" t="s"/>
      <c r="Y75" s="290" t="s"/>
    </row>
    <row r="76" spans="1:25">
      <c r="A76" s="278">
        <v>75</v>
      </c>
      <c r="B76" s="279">
        <f>=_xlfn.XLOOKUP(C76,总表!B:B,总表!A:A,无,0)</f>
        <v>212</v>
      </c>
      <c r="C76" s="334" t="s">
        <v>104</v>
      </c>
      <c r="D76" s="281" t="s">
        <f>=_xlfn.XLOOKUP(C76,总表!B:B,总表!J:J,无0)</f>
        <v>12</v>
      </c>
      <c r="E76" s="282">
        <f>=_xlfn.XLOOKUP(C76,总表!B:B,总表!L:L,无,0)</f>
        <v>46104</v>
      </c>
      <c r="F76" s="283" t="s">
        <f>=_xlfn.XLOOKUP(C76,总表!B:B,总表!M:M,无,0)</f>
        <v>1110</v>
      </c>
      <c r="G76" s="284">
        <f>=_xlfn.XLOOKUP(C76,总表!B:B,总表!C:C,无,0)</f>
        <v>46098.5078240741</v>
      </c>
      <c r="H76" s="7" t="s">
        <f>=_xlfn.XLOOKUP(C76,总表!B:B,总表!F:F,无,0)</f>
        <v>236</v>
      </c>
      <c r="I76" s="11" t="s"/>
      <c r="J76" s="209">
        <v>46104</v>
      </c>
      <c r="K76" s="7" t="s">
        <v>565</v>
      </c>
      <c r="L76" s="7" t="s">
        <v>26</v>
      </c>
      <c r="M76" s="287">
        <v>46108</v>
      </c>
      <c r="N76" s="300" t="s">
        <v>611</v>
      </c>
      <c r="O76" s="301" t="s"/>
      <c r="P76" s="300" t="s">
        <f>=IF(K76&lt;&gt;"",IF(ISBLANK(M76),IF(TODAY()-J76&gt;14,"超时","未超时"),IF(M76-J76&gt;14,"超时","未超时")),"")</f>
        <v>1601</v>
      </c>
      <c r="Q76" s="7" t="s"/>
      <c r="R76" s="7" t="s"/>
      <c r="S76" s="320" t="s"/>
      <c r="T76" s="307" t="s"/>
      <c r="U76" s="307" t="s"/>
      <c r="V76" s="307" t="s"/>
      <c r="W76" s="307" t="s"/>
      <c r="X76" s="307" t="s"/>
      <c r="Y76" s="307" t="s"/>
    </row>
    <row r="77" spans="1:25">
      <c r="A77" s="278">
        <v>76</v>
      </c>
      <c r="B77" s="279">
        <f>=_xlfn.XLOOKUP(C77,总表!B:B,总表!A:A,无,0)</f>
        <v>214</v>
      </c>
      <c r="C77" s="336" t="s">
        <v>105</v>
      </c>
      <c r="D77" s="281" t="s">
        <f>=_xlfn.XLOOKUP(C77,总表!B:B,总表!J:J,无0)</f>
        <v>12</v>
      </c>
      <c r="E77" s="282">
        <f>=_xlfn.XLOOKUP(C77,总表!B:B,总表!L:L,无,0)</f>
        <v>46120</v>
      </c>
      <c r="F77" s="283" t="s">
        <f>=_xlfn.XLOOKUP(C77,总表!B:B,总表!M:M,无,0)</f>
        <v>787</v>
      </c>
      <c r="G77" s="284">
        <f>=_xlfn.XLOOKUP(C77,总表!B:B,总表!C:C,无,0)</f>
        <v>46098.4877430556</v>
      </c>
      <c r="H77" s="7" t="s">
        <f>=_xlfn.XLOOKUP(C77,总表!B:B,总表!F:F,无,0)</f>
        <v>215</v>
      </c>
      <c r="I77" s="11" t="s"/>
      <c r="J77" s="209">
        <v>46120</v>
      </c>
      <c r="K77" s="7" t="s">
        <v>565</v>
      </c>
      <c r="L77" s="7" t="s">
        <v>18</v>
      </c>
      <c r="M77" s="287" t="s"/>
      <c r="N77" s="300" t="s">
        <v>1608</v>
      </c>
      <c r="O77" s="301" t="s"/>
      <c r="P77" s="300" t="s">
        <f>=IF(K77&lt;&gt;"",IF(ISBLANK(M77),IF(TODAY()-J77&gt;14,"超时","未超时"),IF(M77-J77&gt;14,"超时","未超时")),"")</f>
        <v>1601</v>
      </c>
      <c r="Q77" s="7" t="s"/>
      <c r="R77" s="7" t="s"/>
      <c r="S77" s="322" t="s"/>
      <c r="T77" s="307" t="s"/>
      <c r="U77" s="307" t="s"/>
      <c r="V77" s="307" t="s"/>
      <c r="W77" s="307" t="s"/>
      <c r="X77" s="307" t="s"/>
      <c r="Y77" s="307" t="s"/>
    </row>
    <row r="78" spans="1:25">
      <c r="A78" s="278">
        <v>77</v>
      </c>
      <c r="B78" s="279">
        <f>=_xlfn.XLOOKUP(C78,总表!B:B,总表!A:A,无,0)</f>
        <v>218</v>
      </c>
      <c r="C78" s="337" t="s">
        <v>106</v>
      </c>
      <c r="D78" s="281" t="s">
        <f>=_xlfn.XLOOKUP(C78,总表!B:B,总表!J:J,无0)</f>
        <v>12</v>
      </c>
      <c r="E78" s="282">
        <f>=_xlfn.XLOOKUP(C78,总表!B:B,总表!L:L,无,0)</f>
        <v>46099</v>
      </c>
      <c r="F78" s="283" t="s">
        <f>=_xlfn.XLOOKUP(C78,总表!B:B,总表!M:M,无,0)</f>
        <v>1097</v>
      </c>
      <c r="G78" s="284">
        <f>=_xlfn.XLOOKUP(C78,总表!B:B,总表!C:C,无,0)</f>
        <v>46098.6344560185</v>
      </c>
      <c r="H78" s="7" t="s">
        <f>=_xlfn.XLOOKUP(C78,总表!B:B,总表!F:F,无,0)</f>
        <v>234</v>
      </c>
      <c r="I78" s="274" t="s"/>
      <c r="J78" s="209">
        <v>46100</v>
      </c>
      <c r="K78" s="7" t="s">
        <v>565</v>
      </c>
      <c r="L78" s="7" t="s">
        <v>35</v>
      </c>
      <c r="M78" s="287">
        <v>46112</v>
      </c>
      <c r="N78" s="300" t="s">
        <v>611</v>
      </c>
      <c r="O78" s="301" t="s"/>
      <c r="P78" s="300" t="s">
        <f>=IF(K78&lt;&gt;"",IF(ISBLANK(M78),IF(TODAY()-J78&gt;14,"超时","未超时"),IF(M78-J78&gt;14,"超时","未超时")),"")</f>
        <v>1601</v>
      </c>
      <c r="Q78" s="7" t="s"/>
      <c r="R78" s="290" t="s"/>
      <c r="S78" s="7" t="s"/>
      <c r="T78" s="7" t="s"/>
      <c r="U78" s="7" t="s"/>
      <c r="V78" s="7" t="s"/>
      <c r="W78" s="7" t="s"/>
      <c r="X78" s="7" t="s"/>
      <c r="Y78" s="290" t="s"/>
    </row>
    <row r="79" spans="1:25">
      <c r="A79" s="278">
        <v>78</v>
      </c>
      <c r="B79" s="279">
        <f>=_xlfn.XLOOKUP(C79,总表!B:B,总表!A:A,无,0)</f>
        <v>57</v>
      </c>
      <c r="C79" s="332" t="s">
        <v>107</v>
      </c>
      <c r="D79" s="281" t="s">
        <f>=_xlfn.XLOOKUP(C79,总表!B:B,总表!J:J,无0)</f>
        <v>12</v>
      </c>
      <c r="E79" s="282">
        <f>=_xlfn.XLOOKUP(C79,总表!B:B,总表!L:L,无,0)</f>
        <v>46097</v>
      </c>
      <c r="F79" s="283" t="s">
        <f>=_xlfn.XLOOKUP(C79,总表!B:B,总表!M:M,无,0)</f>
        <v>610</v>
      </c>
      <c r="G79" s="284">
        <f>=_xlfn.XLOOKUP(C79,总表!B:B,总表!C:C,无,0)</f>
        <v>46081.6726273148</v>
      </c>
      <c r="H79" s="7" t="s">
        <f>=_xlfn.XLOOKUP(C79,总表!B:B,总表!F:F,无,0)</f>
        <v>234</v>
      </c>
      <c r="I79" s="11" t="s"/>
      <c r="J79" s="209">
        <v>46099</v>
      </c>
      <c r="K79" s="7" t="s">
        <v>565</v>
      </c>
      <c r="L79" s="7" t="s">
        <v>35</v>
      </c>
      <c r="M79" s="287">
        <v>46114</v>
      </c>
      <c r="N79" s="300" t="s">
        <v>611</v>
      </c>
      <c r="O79" s="301" t="s"/>
      <c r="P79" s="300" t="s">
        <f>=IF(K79&lt;&gt;"",IF(ISBLANK(M79),IF(TODAY()-J79&gt;14,"超时","未超时"),IF(M79-J79&gt;14,"超时","未超时")),"")</f>
        <v>1609</v>
      </c>
      <c r="Q79" s="7" t="s">
        <v>1619</v>
      </c>
      <c r="R79" s="290" t="s"/>
      <c r="S79" s="7" t="s"/>
      <c r="T79" s="7" t="s"/>
      <c r="U79" s="7" t="s"/>
      <c r="V79" s="7" t="s"/>
      <c r="W79" s="7" t="s"/>
      <c r="X79" s="7" t="s"/>
      <c r="Y79" s="290" t="s"/>
    </row>
    <row r="80" spans="1:25">
      <c r="A80" s="278">
        <v>79</v>
      </c>
      <c r="B80" s="279">
        <f>=_xlfn.XLOOKUP(C80,总表!B:B,总表!A:A,无,0)</f>
        <v>216</v>
      </c>
      <c r="C80" s="338" t="s">
        <v>108</v>
      </c>
      <c r="D80" s="281" t="s">
        <f>=_xlfn.XLOOKUP(C80,总表!B:B,总表!J:J,无0)</f>
        <v>12</v>
      </c>
      <c r="E80" s="282">
        <f>=_xlfn.XLOOKUP(C80,总表!B:B,总表!L:L,无,0)</f>
        <v>46104</v>
      </c>
      <c r="F80" s="283" t="s">
        <f>=_xlfn.XLOOKUP(C80,总表!B:B,总表!M:M,无,0)</f>
        <v>1118</v>
      </c>
      <c r="G80" s="284">
        <f>=_xlfn.XLOOKUP(C80,总表!B:B,总表!C:C,无,0)</f>
        <v>46098.7097222222</v>
      </c>
      <c r="H80" s="7" t="s">
        <f>=_xlfn.XLOOKUP(C80,总表!B:B,总表!F:F,无,0)</f>
        <v>236</v>
      </c>
      <c r="I80" s="11" t="s"/>
      <c r="J80" s="209">
        <v>46104</v>
      </c>
      <c r="K80" s="7" t="s">
        <v>565</v>
      </c>
      <c r="L80" s="7" t="s">
        <v>26</v>
      </c>
      <c r="M80" s="287">
        <v>46108</v>
      </c>
      <c r="N80" s="300" t="s">
        <v>611</v>
      </c>
      <c r="O80" s="301" t="s"/>
      <c r="P80" s="300" t="s">
        <f>=IF(K80&lt;&gt;"",IF(ISBLANK(M80),IF(TODAY()-J80&gt;14,"超时","未超时"),IF(M80-J80&gt;14,"超时","未超时")),"")</f>
        <v>1601</v>
      </c>
      <c r="Q80" s="7" t="s"/>
      <c r="R80" s="7" t="s"/>
      <c r="S80" s="320" t="s"/>
      <c r="T80" s="307" t="s"/>
      <c r="U80" s="307" t="s"/>
      <c r="V80" s="307" t="s"/>
      <c r="W80" s="307" t="s"/>
      <c r="X80" s="307" t="s"/>
      <c r="Y80" s="307" t="s"/>
    </row>
    <row r="81" spans="1:25">
      <c r="A81" s="278">
        <v>80</v>
      </c>
      <c r="B81" s="279">
        <f>=_xlfn.XLOOKUP(C81,总表!B:B,总表!A:A,无,0)</f>
        <v>217</v>
      </c>
      <c r="C81" s="339" t="s">
        <v>109</v>
      </c>
      <c r="D81" s="281" t="s">
        <f>=_xlfn.XLOOKUP(C81,总表!B:B,总表!J:J,无0)</f>
        <v>12</v>
      </c>
      <c r="E81" s="282">
        <f>=_xlfn.XLOOKUP(C81,总表!B:B,总表!L:L,无,0)</f>
        <v>0</v>
      </c>
      <c r="F81" s="283">
        <f>=_xlfn.XLOOKUP(C81,总表!B:B,总表!M:M,无,0)</f>
        <v>0</v>
      </c>
      <c r="G81" s="284">
        <f>=_xlfn.XLOOKUP(C81,总表!B:B,总表!C:C,无,0)</f>
        <v>46098.7138888889</v>
      </c>
      <c r="H81" s="7" t="s">
        <f>=_xlfn.XLOOKUP(C81,总表!B:B,总表!F:F,无,0)</f>
        <v>224</v>
      </c>
      <c r="I81" s="11" t="s"/>
      <c r="J81" s="209" t="s"/>
      <c r="K81" s="7" t="s"/>
      <c r="L81" s="7" t="s"/>
      <c r="M81" s="287" t="s"/>
      <c r="N81" s="300" t="s"/>
      <c r="O81" s="301" t="s"/>
      <c r="P81" s="300" t="s">
        <f>=IF(K81&lt;&gt;"",IF(ISBLANK(M81),IF(TODAY()-J81&gt;14,"超时","未超时"),IF(M81-J81&gt;14,"超时","未超时")),"")</f>
      </c>
      <c r="Q81" s="7" t="s"/>
      <c r="R81" s="7" t="s"/>
      <c r="S81" s="7" t="s"/>
      <c r="T81" s="307" t="s"/>
      <c r="U81" s="307" t="s"/>
      <c r="V81" s="307" t="s"/>
      <c r="W81" s="307" t="s"/>
      <c r="X81" s="307" t="s"/>
      <c r="Y81" s="307" t="s"/>
    </row>
    <row r="82" spans="1:25">
      <c r="A82" s="278">
        <v>81</v>
      </c>
      <c r="B82" s="279">
        <f>=_xlfn.XLOOKUP(C82,总表!B:B,总表!A:A,无,0)</f>
        <v>219</v>
      </c>
      <c r="C82" s="340" t="s">
        <v>110</v>
      </c>
      <c r="D82" s="281" t="s">
        <f>=_xlfn.XLOOKUP(C82,总表!B:B,总表!J:J,无0)</f>
        <v>12</v>
      </c>
      <c r="E82" s="282">
        <f>=_xlfn.XLOOKUP(C82,总表!B:B,总表!L:L,无,0)</f>
        <v>0</v>
      </c>
      <c r="F82" s="283">
        <f>=_xlfn.XLOOKUP(C82,总表!B:B,总表!M:M,无,0)</f>
        <v>0</v>
      </c>
      <c r="G82" s="284">
        <f>=_xlfn.XLOOKUP(C82,总表!B:B,总表!C:C,无,0)</f>
        <v>46098.7220138889</v>
      </c>
      <c r="H82" s="7" t="s">
        <f>=_xlfn.XLOOKUP(C82,总表!B:B,总表!F:F,无,0)</f>
        <v>228</v>
      </c>
      <c r="I82" s="11" t="s"/>
      <c r="J82" s="209" t="s"/>
      <c r="K82" s="7" t="s"/>
      <c r="L82" s="7" t="s"/>
      <c r="M82" s="287" t="s"/>
      <c r="N82" s="300" t="s"/>
      <c r="O82" s="301" t="s"/>
      <c r="P82" s="300" t="s">
        <f>=IF(K82&lt;&gt;"",IF(ISBLANK(M82),IF(TODAY()-J82&gt;14,"超时","未超时"),IF(M82-J82&gt;14,"超时","未超时")),"")</f>
      </c>
      <c r="Q82" s="7" t="s"/>
      <c r="R82" s="7" t="s"/>
      <c r="S82" s="7" t="s"/>
      <c r="T82" s="307" t="s"/>
      <c r="U82" s="307" t="s"/>
      <c r="V82" s="307" t="s"/>
      <c r="W82" s="307" t="s"/>
      <c r="X82" s="307" t="s"/>
      <c r="Y82" s="307" t="s"/>
    </row>
    <row r="83" spans="1:25">
      <c r="A83" s="278">
        <v>82</v>
      </c>
      <c r="B83" s="279">
        <f>=_xlfn.XLOOKUP(C83,总表!B:B,总表!A:A,无,0)</f>
        <v>222</v>
      </c>
      <c r="C83" s="341" t="s">
        <v>1712</v>
      </c>
      <c r="D83" s="281" t="s">
        <f>=_xlfn.XLOOKUP(C83,总表!B:B,总表!J:J,无0)</f>
        <v>12</v>
      </c>
      <c r="E83" s="282">
        <f>=_xlfn.XLOOKUP(C83,总表!B:B,总表!L:L,无,0)</f>
        <v>0</v>
      </c>
      <c r="F83" s="283">
        <f>=_xlfn.XLOOKUP(C83,总表!B:B,总表!M:M,无,0)</f>
        <v>0</v>
      </c>
      <c r="G83" s="284">
        <f>=_xlfn.XLOOKUP(C83,总表!B:B,总表!C:C,无,0)</f>
        <v>46098.7691087962</v>
      </c>
      <c r="H83" s="7">
        <f>=_xlfn.XLOOKUP(C83,总表!B:B,总表!F:F,无,0)</f>
        <v>0</v>
      </c>
      <c r="I83" s="11" t="s"/>
      <c r="J83" s="209" t="s"/>
      <c r="K83" s="7" t="s"/>
      <c r="L83" s="7" t="s"/>
      <c r="M83" s="287" t="s"/>
      <c r="N83" s="300" t="s"/>
      <c r="O83" s="301" t="s"/>
      <c r="P83" s="300" t="s">
        <f>=IF(K83&lt;&gt;"",IF(ISBLANK(M83),IF(TODAY()-J83&gt;14,"超时","未超时"),IF(M83-J83&gt;14,"超时","未超时")),"")</f>
      </c>
      <c r="Q83" s="7" t="s"/>
      <c r="R83" s="7" t="s"/>
      <c r="S83" s="7" t="s"/>
      <c r="T83" s="307" t="s"/>
      <c r="U83" s="307" t="s"/>
      <c r="V83" s="307" t="s"/>
      <c r="W83" s="307" t="s"/>
      <c r="X83" s="307" t="s"/>
      <c r="Y83" s="307" t="s"/>
    </row>
    <row r="84" spans="1:25">
      <c r="A84" s="278">
        <v>83</v>
      </c>
      <c r="B84" s="279">
        <f>=_xlfn.XLOOKUP(C84,总表!B:B,总表!A:A,无,0)</f>
        <v>225</v>
      </c>
      <c r="C84" s="342" t="s">
        <v>112</v>
      </c>
      <c r="D84" s="281" t="s">
        <f>=_xlfn.XLOOKUP(C84,总表!B:B,总表!J:J,无0)</f>
        <v>12</v>
      </c>
      <c r="E84" s="282">
        <f>=_xlfn.XLOOKUP(C84,总表!B:B,总表!L:L,无,0)</f>
        <v>46107</v>
      </c>
      <c r="F84" s="283" t="s">
        <f>=_xlfn.XLOOKUP(C84,总表!B:B,总表!M:M,无,0)</f>
        <v>1135</v>
      </c>
      <c r="G84" s="284">
        <f>=_xlfn.XLOOKUP(C84,总表!B:B,总表!C:C,无,0)</f>
        <v>46098.7420717593</v>
      </c>
      <c r="H84" s="7" t="s">
        <f>=_xlfn.XLOOKUP(C84,总表!B:B,总表!F:F,无,0)</f>
        <v>215</v>
      </c>
      <c r="I84" s="274" t="s">
        <v>1622</v>
      </c>
      <c r="J84" s="209">
        <v>46107</v>
      </c>
      <c r="K84" s="7" t="s">
        <v>565</v>
      </c>
      <c r="L84" s="7" t="s">
        <v>18</v>
      </c>
      <c r="M84" s="287">
        <v>46122</v>
      </c>
      <c r="N84" s="300" t="s">
        <v>611</v>
      </c>
      <c r="O84" s="301" t="s"/>
      <c r="P84" s="300" t="s">
        <f>=IF(K84&lt;&gt;"",IF(ISBLANK(M84),IF(TODAY()-J84&gt;14,"超时","未超时"),IF(M84-J84&gt;14,"超时","未超时")),"")</f>
        <v>1609</v>
      </c>
      <c r="Q84" s="7" t="s">
        <v>1623</v>
      </c>
      <c r="R84" s="7" t="s"/>
      <c r="S84" s="7" t="s"/>
      <c r="T84" s="307" t="s"/>
      <c r="U84" s="307" t="s"/>
      <c r="V84" s="307" t="s"/>
      <c r="W84" s="307" t="s"/>
      <c r="X84" s="307" t="s"/>
      <c r="Y84" s="307" t="s"/>
    </row>
    <row r="85" spans="1:25">
      <c r="A85" s="278">
        <v>84</v>
      </c>
      <c r="B85" s="279">
        <f>=_xlfn.XLOOKUP(C85,总表!B:B,总表!A:A,无,0)</f>
        <v>226</v>
      </c>
      <c r="C85" s="343" t="s">
        <v>113</v>
      </c>
      <c r="D85" s="281" t="s">
        <f>=_xlfn.XLOOKUP(C85,总表!B:B,总表!J:J,无0)</f>
        <v>15</v>
      </c>
      <c r="E85" s="282">
        <f>=_xlfn.XLOOKUP(C85,总表!B:B,总表!L:L,无,0)</f>
        <v>0</v>
      </c>
      <c r="F85" s="283">
        <f>=_xlfn.XLOOKUP(C85,总表!B:B,总表!M:M,无,0)</f>
        <v>0</v>
      </c>
      <c r="G85" s="284">
        <f>=_xlfn.XLOOKUP(C85,总表!B:B,总表!C:C,无,0)</f>
        <v>46099.4243402778</v>
      </c>
      <c r="H85" s="7" t="s">
        <f>=_xlfn.XLOOKUP(C85,总表!B:B,总表!F:F,无,0)</f>
        <v>228</v>
      </c>
      <c r="I85" s="11" t="s"/>
      <c r="J85" s="209" t="s"/>
      <c r="K85" s="7" t="s"/>
      <c r="L85" s="7" t="s"/>
      <c r="M85" s="287" t="s"/>
      <c r="N85" s="300" t="s"/>
      <c r="O85" s="301" t="s"/>
      <c r="P85" s="300" t="s">
        <f>=IF(K85&lt;&gt;"",IF(ISBLANK(M85),IF(TODAY()-J85&gt;14,"超时","未超时"),IF(M85-J85&gt;14,"超时","未超时")),"")</f>
      </c>
      <c r="Q85" s="7" t="s"/>
      <c r="R85" s="7" t="s"/>
      <c r="S85" s="7" t="s"/>
      <c r="T85" s="307" t="s"/>
      <c r="U85" s="307" t="s"/>
      <c r="V85" s="307" t="s"/>
      <c r="W85" s="307" t="s"/>
      <c r="X85" s="307" t="s"/>
      <c r="Y85" s="307" t="s"/>
    </row>
    <row r="86" spans="1:25">
      <c r="A86" s="278">
        <v>85</v>
      </c>
      <c r="B86" s="279">
        <f>=_xlfn.XLOOKUP(C86,总表!B:B,总表!A:A,无,0)</f>
        <v>227</v>
      </c>
      <c r="C86" s="344" t="s">
        <v>114</v>
      </c>
      <c r="D86" s="281" t="s">
        <f>=_xlfn.XLOOKUP(C86,总表!B:B,总表!J:J,无0)</f>
        <v>12</v>
      </c>
      <c r="E86" s="282">
        <f>=_xlfn.XLOOKUP(C86,总表!B:B,总表!L:L,无,0)</f>
        <v>46099</v>
      </c>
      <c r="F86" s="283" t="s">
        <f>=_xlfn.XLOOKUP(C86,总表!B:B,总表!M:M,无,0)</f>
        <v>610</v>
      </c>
      <c r="G86" s="284">
        <f>=_xlfn.XLOOKUP(C86,总表!B:B,总表!C:C,无,0)</f>
        <v>46099.4472222222</v>
      </c>
      <c r="H86" s="7" t="s">
        <f>=_xlfn.XLOOKUP(C86,总表!B:B,总表!F:F,无,0)</f>
        <v>234</v>
      </c>
      <c r="I86" s="11" t="s"/>
      <c r="J86" s="209">
        <v>46104</v>
      </c>
      <c r="K86" s="7" t="s">
        <v>565</v>
      </c>
      <c r="L86" s="7" t="s">
        <v>18</v>
      </c>
      <c r="M86" s="287">
        <v>46108</v>
      </c>
      <c r="N86" s="300" t="s">
        <v>611</v>
      </c>
      <c r="O86" s="301" t="s"/>
      <c r="P86" s="300" t="s">
        <f>=IF(K86&lt;&gt;"",IF(ISBLANK(M86),IF(TODAY()-J86&gt;14,"超时","未超时"),IF(M86-J86&gt;14,"超时","未超时")),"")</f>
        <v>1601</v>
      </c>
      <c r="Q86" s="7" t="s"/>
      <c r="R86" s="7" t="s"/>
      <c r="S86" s="7" t="s"/>
      <c r="T86" s="307" t="s"/>
      <c r="U86" s="307" t="s"/>
      <c r="V86" s="307" t="s"/>
      <c r="W86" s="307" t="s"/>
      <c r="X86" s="307" t="s"/>
      <c r="Y86" s="307" t="s"/>
    </row>
    <row r="87" spans="1:25">
      <c r="A87" s="278">
        <v>86</v>
      </c>
      <c r="B87" s="279">
        <f>=_xlfn.XLOOKUP(C87,总表!B:B,总表!A:A,无,0)</f>
        <v>228</v>
      </c>
      <c r="C87" s="344" t="s">
        <v>115</v>
      </c>
      <c r="D87" s="281" t="s">
        <f>=_xlfn.XLOOKUP(C87,总表!B:B,总表!J:J,无0)</f>
        <v>12</v>
      </c>
      <c r="E87" s="282">
        <f>=_xlfn.XLOOKUP(C87,总表!B:B,总表!L:L,无,0)</f>
        <v>46104</v>
      </c>
      <c r="F87" s="283" t="s">
        <f>=_xlfn.XLOOKUP(C87,总表!B:B,总表!M:M,无,0)</f>
        <v>1141</v>
      </c>
      <c r="G87" s="284">
        <f>=_xlfn.XLOOKUP(C87,总表!B:B,总表!C:C,无,0)</f>
        <v>46099.4</v>
      </c>
      <c r="H87" s="7" t="s">
        <f>=_xlfn.XLOOKUP(C87,总表!B:B,总表!F:F,无,0)</f>
        <v>236</v>
      </c>
      <c r="I87" s="11" t="s"/>
      <c r="J87" s="209">
        <v>46104</v>
      </c>
      <c r="K87" s="7" t="s">
        <v>565</v>
      </c>
      <c r="L87" s="7" t="s">
        <v>26</v>
      </c>
      <c r="M87" s="287">
        <v>46112</v>
      </c>
      <c r="N87" s="300" t="s">
        <v>611</v>
      </c>
      <c r="O87" s="301" t="s"/>
      <c r="P87" s="300" t="s">
        <f>=IF(K87&lt;&gt;"",IF(ISBLANK(M87),IF(TODAY()-J87&gt;14,"超时","未超时"),IF(M87-J87&gt;14,"超时","未超时")),"")</f>
        <v>1601</v>
      </c>
      <c r="Q87" s="7" t="s"/>
      <c r="R87" s="7" t="s"/>
      <c r="S87" s="322" t="s"/>
      <c r="T87" s="307" t="s"/>
      <c r="U87" s="307" t="s"/>
      <c r="V87" s="307" t="s"/>
      <c r="W87" s="307" t="s"/>
      <c r="X87" s="307" t="s"/>
      <c r="Y87" s="307" t="s"/>
    </row>
    <row r="88" spans="1:25">
      <c r="A88" s="278">
        <v>87</v>
      </c>
      <c r="B88" s="279">
        <f>=_xlfn.XLOOKUP(C88,总表!B:B,总表!A:A,无,0)</f>
        <v>235</v>
      </c>
      <c r="C88" s="345" t="s">
        <v>116</v>
      </c>
      <c r="D88" s="281" t="s">
        <f>=_xlfn.XLOOKUP(C88,总表!B:B,总表!J:J,无0)</f>
        <v>12</v>
      </c>
      <c r="E88" s="282">
        <f>=_xlfn.XLOOKUP(C88,总表!B:B,总表!L:L,无,0)</f>
        <v>46100</v>
      </c>
      <c r="F88" s="283" t="s">
        <f>=_xlfn.XLOOKUP(C88,总表!B:B,总表!M:M,无,0)</f>
        <v>1151</v>
      </c>
      <c r="G88" s="284">
        <f>=_xlfn.XLOOKUP(C88,总表!B:B,总表!C:C,无,0)</f>
        <v>46099.5968402778</v>
      </c>
      <c r="H88" s="7" t="s">
        <f>=_xlfn.XLOOKUP(C88,总表!B:B,总表!F:F,无,0)</f>
        <v>224</v>
      </c>
      <c r="I88" s="11" t="s"/>
      <c r="J88" s="209">
        <v>46100</v>
      </c>
      <c r="K88" s="7" t="s">
        <v>565</v>
      </c>
      <c r="L88" s="7" t="s">
        <v>35</v>
      </c>
      <c r="M88" s="287">
        <v>46108</v>
      </c>
      <c r="N88" s="300" t="s">
        <v>611</v>
      </c>
      <c r="O88" s="301" t="s"/>
      <c r="P88" s="300" t="s">
        <f>=IF(K88&lt;&gt;"",IF(ISBLANK(M88),IF(TODAY()-J88&gt;14,"超时","未超时"),IF(M88-J88&gt;14,"超时","未超时")),"")</f>
        <v>1601</v>
      </c>
      <c r="Q88" s="7" t="s"/>
      <c r="R88" s="7" t="s"/>
      <c r="S88" s="7" t="s"/>
      <c r="T88" s="7" t="s"/>
      <c r="U88" s="7" t="s"/>
      <c r="V88" s="7" t="s"/>
      <c r="W88" s="7" t="s"/>
      <c r="X88" s="7" t="s"/>
      <c r="Y88" s="7" t="s"/>
    </row>
    <row r="89" spans="1:25">
      <c r="A89" s="278">
        <v>88</v>
      </c>
      <c r="B89" s="279">
        <f>=_xlfn.XLOOKUP(C89,总表!B:B,总表!A:A,无,0)</f>
        <v>234</v>
      </c>
      <c r="C89" s="346" t="s">
        <v>117</v>
      </c>
      <c r="D89" s="281" t="s">
        <f>=_xlfn.XLOOKUP(C89,总表!B:B,总表!J:J,无0)</f>
        <v>12</v>
      </c>
      <c r="E89" s="282">
        <f>=_xlfn.XLOOKUP(C89,总表!B:B,总表!L:L,无,0)</f>
        <v>46106</v>
      </c>
      <c r="F89" s="283" t="s">
        <f>=_xlfn.XLOOKUP(C89,总表!B:B,总表!M:M,无,0)</f>
        <v>610</v>
      </c>
      <c r="G89" s="284">
        <f>=_xlfn.XLOOKUP(C89,总表!B:B,总表!C:C,无,0)</f>
        <v>46099.5888888889</v>
      </c>
      <c r="H89" s="7" t="s">
        <f>=_xlfn.XLOOKUP(C89,总表!B:B,总表!F:F,无,0)</f>
        <v>224</v>
      </c>
      <c r="I89" s="11" t="s">
        <v>1605</v>
      </c>
      <c r="J89" s="209">
        <v>46106</v>
      </c>
      <c r="K89" s="7" t="s">
        <v>565</v>
      </c>
      <c r="L89" s="7" t="s">
        <v>18</v>
      </c>
      <c r="M89" s="287">
        <v>46119</v>
      </c>
      <c r="N89" s="300" t="s">
        <v>611</v>
      </c>
      <c r="O89" s="301" t="s"/>
      <c r="P89" s="300" t="s">
        <f>=IF(K89&lt;&gt;"",IF(ISBLANK(M89),IF(TODAY()-J89&gt;14,"超时","未超时"),IF(M89-J89&gt;14,"超时","未超时")),"")</f>
        <v>1601</v>
      </c>
      <c r="Q89" s="7" t="s">
        <v>1624</v>
      </c>
      <c r="R89" s="7" t="s"/>
      <c r="S89" s="320" t="s"/>
      <c r="T89" s="307" t="s"/>
      <c r="U89" s="307" t="s"/>
      <c r="V89" s="307" t="s"/>
      <c r="W89" s="307" t="s"/>
      <c r="X89" s="307" t="s"/>
      <c r="Y89" s="307" t="s"/>
    </row>
    <row r="90" spans="1:25">
      <c r="A90" s="278">
        <v>89</v>
      </c>
      <c r="B90" s="279">
        <f>=_xlfn.XLOOKUP(C90,总表!B:B,总表!A:A,无,0)</f>
        <v>236</v>
      </c>
      <c r="C90" s="346" t="s">
        <v>118</v>
      </c>
      <c r="D90" s="281" t="s">
        <f>=_xlfn.XLOOKUP(C90,总表!B:B,总表!J:J,无0)</f>
        <v>12</v>
      </c>
      <c r="E90" s="282">
        <f>=_xlfn.XLOOKUP(C90,总表!B:B,总表!L:L,无,0)</f>
        <v>46104</v>
      </c>
      <c r="F90" s="283" t="s">
        <f>=_xlfn.XLOOKUP(C90,总表!B:B,总表!M:M,无,0)</f>
        <v>1154</v>
      </c>
      <c r="G90" s="284">
        <f>=_xlfn.XLOOKUP(C90,总表!B:B,总表!C:C,无,0)</f>
        <v>46099.5337847222</v>
      </c>
      <c r="H90" s="7" t="s">
        <f>=_xlfn.XLOOKUP(C90,总表!B:B,总表!F:F,无,0)</f>
        <v>228</v>
      </c>
      <c r="I90" s="11" t="s"/>
      <c r="J90" s="209">
        <v>46104</v>
      </c>
      <c r="K90" s="7" t="s">
        <v>565</v>
      </c>
      <c r="L90" s="7" t="s">
        <v>18</v>
      </c>
      <c r="M90" s="287">
        <v>46115</v>
      </c>
      <c r="N90" s="300" t="s">
        <v>611</v>
      </c>
      <c r="O90" s="301" t="s"/>
      <c r="P90" s="300" t="s">
        <f>=IF(K90&lt;&gt;"",IF(ISBLANK(M90),IF(TODAY()-J90&gt;14,"超时","未超时"),IF(M90-J90&gt;14,"超时","未超时")),"")</f>
        <v>1601</v>
      </c>
      <c r="Q90" s="7" t="s">
        <v>1624</v>
      </c>
      <c r="R90" s="7" t="s"/>
      <c r="S90" s="322" t="s"/>
      <c r="T90" s="307" t="s"/>
      <c r="U90" s="307" t="s"/>
      <c r="V90" s="307" t="s"/>
      <c r="W90" s="307" t="s"/>
      <c r="X90" s="307" t="s"/>
      <c r="Y90" s="307" t="s"/>
    </row>
    <row r="91" spans="1:25">
      <c r="A91" s="278">
        <v>90</v>
      </c>
      <c r="B91" s="279">
        <f>=_xlfn.XLOOKUP(C91,总表!B:B,总表!A:A,无,0)</f>
        <v>239</v>
      </c>
      <c r="C91" s="347" t="s">
        <v>119</v>
      </c>
      <c r="D91" s="281" t="s">
        <f>=_xlfn.XLOOKUP(C91,总表!B:B,总表!J:J,无0)</f>
        <v>12</v>
      </c>
      <c r="E91" s="282">
        <f>=_xlfn.XLOOKUP(C91,总表!B:B,总表!L:L,无,0)</f>
        <v>46101</v>
      </c>
      <c r="F91" s="283" t="s">
        <f>=_xlfn.XLOOKUP(C91,总表!B:B,总表!M:M,无,0)</f>
        <v>1154</v>
      </c>
      <c r="G91" s="284">
        <f>=_xlfn.XLOOKUP(C91,总表!B:B,总表!C:C,无,0)</f>
        <v>46099.7156365741</v>
      </c>
      <c r="H91" s="7" t="s">
        <f>=_xlfn.XLOOKUP(C91,总表!B:B,总表!F:F,无,0)</f>
        <v>234</v>
      </c>
      <c r="I91" s="11" t="s">
        <v>1625</v>
      </c>
      <c r="J91" s="209">
        <v>46101</v>
      </c>
      <c r="K91" s="7" t="s">
        <v>565</v>
      </c>
      <c r="L91" s="7" t="s">
        <v>18</v>
      </c>
      <c r="M91" s="287">
        <v>46104</v>
      </c>
      <c r="N91" s="300" t="s">
        <v>611</v>
      </c>
      <c r="O91" s="301" t="s"/>
      <c r="P91" s="300" t="s">
        <f>=IF(K91&lt;&gt;"",IF(ISBLANK(M91),IF(TODAY()-J91&gt;14,"超时","未超时"),IF(M91-J91&gt;14,"超时","未超时")),"")</f>
        <v>1601</v>
      </c>
      <c r="Q91" s="7" t="s"/>
      <c r="R91" s="7" t="s"/>
      <c r="S91" s="7" t="s"/>
      <c r="T91" s="7" t="s"/>
      <c r="U91" s="7" t="s"/>
      <c r="V91" s="7" t="s"/>
      <c r="W91" s="7" t="s"/>
      <c r="X91" s="7" t="s"/>
      <c r="Y91" s="7" t="s"/>
    </row>
    <row r="92" spans="1:25">
      <c r="A92" s="278">
        <v>91</v>
      </c>
      <c r="B92" s="279">
        <f>=_xlfn.XLOOKUP(C92,总表!B:B,总表!A:A,无,0)</f>
        <v>242</v>
      </c>
      <c r="C92" s="348" t="s">
        <v>120</v>
      </c>
      <c r="D92" s="281" t="s">
        <f>=_xlfn.XLOOKUP(C92,总表!B:B,总表!J:J,无0)</f>
        <v>12</v>
      </c>
      <c r="E92" s="282">
        <f>=_xlfn.XLOOKUP(C92,总表!B:B,总表!L:L,无,0)</f>
        <v>46103</v>
      </c>
      <c r="F92" s="283" t="s">
        <f>=_xlfn.XLOOKUP(C92,总表!B:B,总表!M:M,无,0)</f>
        <v>1166</v>
      </c>
      <c r="G92" s="284">
        <f>=_xlfn.XLOOKUP(C92,总表!B:B,总表!C:C,无,0)</f>
        <v>46099.6734375</v>
      </c>
      <c r="H92" s="7" t="s">
        <f>=_xlfn.XLOOKUP(C92,总表!B:B,总表!F:F,无,0)</f>
        <v>215</v>
      </c>
      <c r="I92" s="11" t="s"/>
      <c r="J92" s="209">
        <v>46104</v>
      </c>
      <c r="K92" s="7" t="s">
        <v>565</v>
      </c>
      <c r="L92" s="7" t="s">
        <v>26</v>
      </c>
      <c r="M92" s="287">
        <v>46107</v>
      </c>
      <c r="N92" s="300" t="s">
        <v>611</v>
      </c>
      <c r="O92" s="301" t="s"/>
      <c r="P92" s="300" t="s">
        <f>=IF(K92&lt;&gt;"",IF(ISBLANK(M92),IF(TODAY()-J92&gt;14,"超时","未超时"),IF(M92-J92&gt;14,"超时","未超时")),"")</f>
        <v>1601</v>
      </c>
      <c r="Q92" s="7" t="s"/>
      <c r="R92" s="7" t="s"/>
      <c r="S92" s="306" t="s"/>
      <c r="T92" s="307" t="s"/>
      <c r="U92" s="307" t="s"/>
      <c r="V92" s="307" t="s"/>
      <c r="W92" s="307" t="s"/>
      <c r="X92" s="307" t="s"/>
      <c r="Y92" s="307" t="s"/>
    </row>
    <row r="93" spans="1:25">
      <c r="A93" s="278">
        <v>92</v>
      </c>
      <c r="B93" s="279">
        <f>=_xlfn.XLOOKUP(C93,总表!B:B,总表!A:A,无,0)</f>
        <v>248</v>
      </c>
      <c r="C93" s="349" t="s">
        <v>121</v>
      </c>
      <c r="D93" s="281" t="s">
        <f>=_xlfn.XLOOKUP(C93,总表!B:B,总表!J:J,无0)</f>
        <v>12</v>
      </c>
      <c r="E93" s="282">
        <f>=_xlfn.XLOOKUP(C93,总表!B:B,总表!L:L,无,0)</f>
        <v>46101</v>
      </c>
      <c r="F93" s="283" t="s">
        <f>=_xlfn.XLOOKUP(C93,总表!B:B,总表!M:M,无,0)</f>
        <v>1179</v>
      </c>
      <c r="G93" s="284">
        <f>=_xlfn.XLOOKUP(C93,总表!B:B,总表!C:C,无,0)</f>
        <v>46100.6390509259</v>
      </c>
      <c r="H93" s="7" t="s">
        <f>=_xlfn.XLOOKUP(C93,总表!B:B,总表!F:F,无,0)</f>
        <v>236</v>
      </c>
      <c r="I93" s="11" t="s"/>
      <c r="J93" s="209">
        <v>46101</v>
      </c>
      <c r="K93" s="7" t="s">
        <v>565</v>
      </c>
      <c r="L93" s="7" t="s">
        <v>18</v>
      </c>
      <c r="M93" s="287">
        <v>46106</v>
      </c>
      <c r="N93" s="300" t="s">
        <v>611</v>
      </c>
      <c r="O93" s="301" t="s"/>
      <c r="P93" s="300" t="s">
        <f>=IF(K93&lt;&gt;"",IF(ISBLANK(M93),IF(TODAY()-J93&gt;14,"超时","未超时"),IF(M93-J93&gt;14,"超时","未超时")),"")</f>
        <v>1601</v>
      </c>
      <c r="Q93" s="7" t="s"/>
      <c r="R93" s="7" t="s"/>
      <c r="S93" s="7" t="s"/>
      <c r="T93" s="7" t="s"/>
      <c r="U93" s="7" t="s"/>
      <c r="V93" s="7" t="s"/>
      <c r="W93" s="7" t="s"/>
      <c r="X93" s="7" t="s"/>
      <c r="Y93" s="7" t="s"/>
    </row>
    <row r="94" spans="1:25">
      <c r="A94" s="278">
        <v>93</v>
      </c>
      <c r="B94" s="279">
        <f>=_xlfn.XLOOKUP(C94,总表!B:B,总表!A:A,无,0)</f>
        <v>251</v>
      </c>
      <c r="C94" s="350" t="s">
        <v>122</v>
      </c>
      <c r="D94" s="281" t="s">
        <f>=_xlfn.XLOOKUP(C94,总表!B:B,总表!J:J,无0)</f>
        <v>12</v>
      </c>
      <c r="E94" s="282">
        <f>=_xlfn.XLOOKUP(C94,总表!B:B,总表!L:L,无,0)</f>
        <v>46108</v>
      </c>
      <c r="F94" s="283" t="s">
        <f>=_xlfn.XLOOKUP(C94,总表!B:B,总表!M:M,无,0)</f>
        <v>953</v>
      </c>
      <c r="G94" s="284">
        <f>=_xlfn.XLOOKUP(C94,总表!B:B,总表!C:C,无,0)</f>
        <v>46100.6724421296</v>
      </c>
      <c r="H94" s="7" t="s">
        <f>=_xlfn.XLOOKUP(C94,总表!B:B,总表!F:F,无,0)</f>
        <v>228</v>
      </c>
      <c r="I94" s="11" t="s">
        <v>1626</v>
      </c>
      <c r="J94" s="209">
        <v>46108</v>
      </c>
      <c r="K94" s="7" t="s">
        <v>565</v>
      </c>
      <c r="L94" s="7" t="s">
        <v>18</v>
      </c>
      <c r="M94" s="287">
        <v>46115</v>
      </c>
      <c r="N94" s="300" t="s">
        <v>611</v>
      </c>
      <c r="O94" s="301" t="s"/>
      <c r="P94" s="300" t="s">
        <f>=IF(K94&lt;&gt;"",IF(ISBLANK(M94),IF(TODAY()-J94&gt;14,"超时","未超时"),IF(M94-J94&gt;14,"超时","未超时")),"")</f>
        <v>1601</v>
      </c>
      <c r="Q94" s="7" t="s">
        <v>1627</v>
      </c>
      <c r="R94" s="7" t="s"/>
      <c r="S94" s="306" t="s"/>
      <c r="T94" s="307" t="s"/>
      <c r="U94" s="307" t="s"/>
      <c r="V94" s="307" t="s"/>
      <c r="W94" s="307" t="s"/>
      <c r="X94" s="307" t="s"/>
      <c r="Y94" s="307" t="s"/>
    </row>
    <row r="95" spans="1:25">
      <c r="A95" s="279">
        <v>94</v>
      </c>
      <c r="B95" s="279">
        <f>=_xlfn.XLOOKUP(C95,总表!B:B,总表!A:A,无,0)</f>
        <v>252</v>
      </c>
      <c r="C95" s="350" t="s">
        <v>123</v>
      </c>
      <c r="D95" s="281" t="s">
        <f>=_xlfn.XLOOKUP(C95,总表!B:B,总表!J:J,无0)</f>
        <v>15</v>
      </c>
      <c r="E95" s="282">
        <f>=_xlfn.XLOOKUP(C95,总表!B:B,总表!L:L,无,0)</f>
        <v>46101</v>
      </c>
      <c r="F95" s="283" t="s">
        <f>=_xlfn.XLOOKUP(C95,总表!B:B,总表!M:M,无,0)</f>
        <v>953</v>
      </c>
      <c r="G95" s="284">
        <f>=_xlfn.XLOOKUP(C95,总表!B:B,总表!C:C,无,0)</f>
        <v>46100.7069444445</v>
      </c>
      <c r="H95" s="7" t="s">
        <f>=_xlfn.XLOOKUP(C95,总表!B:B,总表!F:F,无,0)</f>
        <v>224</v>
      </c>
      <c r="I95" s="11" t="s"/>
      <c r="J95" s="209">
        <v>46101</v>
      </c>
      <c r="K95" s="7" t="s">
        <v>565</v>
      </c>
      <c r="L95" s="7" t="s">
        <v>124</v>
      </c>
      <c r="M95" s="287">
        <v>46112</v>
      </c>
      <c r="N95" s="300" t="s">
        <v>611</v>
      </c>
      <c r="O95" s="301" t="s"/>
      <c r="P95" s="300" t="s">
        <f>=IF(K95&lt;&gt;"",IF(ISBLANK(M95),IF(TODAY()-J95&gt;14,"超时","未超时"),IF(M95-J95&gt;14,"超时","未超时")),"")</f>
        <v>1601</v>
      </c>
      <c r="Q95" s="7" t="s"/>
      <c r="R95" s="290" t="s"/>
      <c r="S95" s="7" t="s"/>
      <c r="T95" s="7" t="s"/>
      <c r="U95" s="7" t="s"/>
      <c r="V95" s="7" t="s"/>
      <c r="W95" s="7" t="s"/>
      <c r="X95" s="7" t="s"/>
      <c r="Y95" s="290" t="s"/>
    </row>
    <row r="96" spans="1:25">
      <c r="A96" s="278">
        <v>95</v>
      </c>
      <c r="B96" s="278">
        <f>=_xlfn.XLOOKUP(C96,总表!B:B,总表!A:A,无,0)</f>
        <v>264</v>
      </c>
      <c r="C96" s="351" t="s">
        <v>125</v>
      </c>
      <c r="D96" s="281" t="s">
        <f>=_xlfn.XLOOKUP(C96,总表!B:B,总表!J:J,无0)</f>
        <v>12</v>
      </c>
      <c r="E96" s="282">
        <f>=_xlfn.XLOOKUP(C96,总表!B:B,总表!L:L,无,0)</f>
        <v>46104</v>
      </c>
      <c r="F96" s="283" t="s">
        <f>=_xlfn.XLOOKUP(C96,总表!B:B,总表!M:M,无,0)</f>
        <v>953</v>
      </c>
      <c r="G96" s="284">
        <f>=_xlfn.XLOOKUP(C96,总表!B:B,总表!C:C,无,0)</f>
        <v>46101.7056944445</v>
      </c>
      <c r="H96" s="7" t="s">
        <f>=_xlfn.XLOOKUP(C96,总表!B:B,总表!F:F,无,0)</f>
        <v>228</v>
      </c>
      <c r="I96" s="11" t="s">
        <v>1618</v>
      </c>
      <c r="J96" s="209">
        <v>46106</v>
      </c>
      <c r="K96" s="7" t="s">
        <v>565</v>
      </c>
      <c r="L96" s="7" t="s">
        <v>26</v>
      </c>
      <c r="M96" s="287">
        <v>46114</v>
      </c>
      <c r="N96" s="300" t="s">
        <v>611</v>
      </c>
      <c r="O96" s="301" t="s"/>
      <c r="P96" s="300" t="s">
        <f>=IF(K96&lt;&gt;"",IF(ISBLANK(M96),IF(TODAY()-J96&gt;14,"超时","未超时"),IF(M96-J96&gt;14,"超时","未超时")),"")</f>
        <v>1601</v>
      </c>
      <c r="Q96" s="7" t="s"/>
      <c r="R96" s="290" t="s"/>
      <c r="S96" s="7" t="s"/>
      <c r="T96" s="7" t="s"/>
      <c r="U96" s="7" t="s"/>
      <c r="V96" s="7" t="s"/>
      <c r="W96" s="7" t="s"/>
      <c r="X96" s="7" t="s"/>
      <c r="Y96" s="290" t="s"/>
    </row>
    <row r="97" spans="1:25">
      <c r="A97" s="278">
        <v>96</v>
      </c>
      <c r="B97" s="279">
        <f>=_xlfn.XLOOKUP(C97,总表!B:B,总表!A:A,无,0)</f>
        <v>266</v>
      </c>
      <c r="C97" s="352" t="s">
        <v>126</v>
      </c>
      <c r="D97" s="281" t="s">
        <f>=_xlfn.XLOOKUP(C97,总表!B:B,总表!J:J,无0)</f>
        <v>12</v>
      </c>
      <c r="E97" s="282">
        <f>=_xlfn.XLOOKUP(C97,总表!B:B,总表!L:L,无,0)</f>
        <v>46106</v>
      </c>
      <c r="F97" s="283" t="s">
        <f>=_xlfn.XLOOKUP(C97,总表!B:B,总表!M:M,无,0)</f>
        <v>1211</v>
      </c>
      <c r="G97" s="284">
        <f>=_xlfn.XLOOKUP(C97,总表!B:B,总表!C:C,无,0)</f>
        <v>46101.7509722222</v>
      </c>
      <c r="H97" s="7" t="s">
        <f>=_xlfn.XLOOKUP(C97,总表!B:B,总表!F:F,无,0)</f>
        <v>215</v>
      </c>
      <c r="I97" s="11" t="s">
        <v>1605</v>
      </c>
      <c r="J97" s="209">
        <v>46106</v>
      </c>
      <c r="K97" s="7" t="s">
        <v>565</v>
      </c>
      <c r="L97" s="7" t="s">
        <v>18</v>
      </c>
      <c r="M97" s="287">
        <v>46115</v>
      </c>
      <c r="N97" s="300" t="s">
        <v>1608</v>
      </c>
      <c r="O97" s="301" t="s"/>
      <c r="P97" s="300" t="s">
        <f>=IF(K97&lt;&gt;"",IF(ISBLANK(M97),IF(TODAY()-J97&gt;14,"超时","未超时"),IF(M97-J97&gt;14,"超时","未超时")),"")</f>
        <v>1601</v>
      </c>
      <c r="Q97" s="7" t="s"/>
      <c r="R97" s="290" t="s"/>
      <c r="S97" s="7" t="s"/>
      <c r="T97" s="7" t="s"/>
      <c r="U97" s="7" t="s"/>
      <c r="V97" s="7" t="s"/>
      <c r="W97" s="7" t="s"/>
      <c r="X97" s="7" t="s"/>
      <c r="Y97" s="290" t="s"/>
    </row>
    <row r="98" spans="1:25">
      <c r="A98" s="278">
        <v>97</v>
      </c>
      <c r="B98" s="279">
        <f>=_xlfn.XLOOKUP(C98,总表!B:B,总表!A:A,无,0)</f>
        <v>268</v>
      </c>
      <c r="C98" s="353" t="s">
        <v>127</v>
      </c>
      <c r="D98" s="281" t="s">
        <f>=_xlfn.XLOOKUP(C98,总表!B:B,总表!J:J,无0)</f>
        <v>12</v>
      </c>
      <c r="E98" s="282">
        <f>=_xlfn.XLOOKUP(C98,总表!B:B,总表!L:L,无,0)</f>
        <v>46104</v>
      </c>
      <c r="F98" s="283" t="s">
        <f>=_xlfn.XLOOKUP(C98,总表!B:B,总表!M:M,无,0)</f>
        <v>1214</v>
      </c>
      <c r="G98" s="284">
        <f>=_xlfn.XLOOKUP(C98,总表!B:B,总表!C:C,无,0)</f>
        <v>46104.3703703704</v>
      </c>
      <c r="H98" s="7" t="s">
        <f>=_xlfn.XLOOKUP(C98,总表!B:B,总表!F:F,无,0)</f>
        <v>228</v>
      </c>
      <c r="I98" s="11" t="s"/>
      <c r="J98" s="209">
        <v>46104</v>
      </c>
      <c r="K98" s="7" t="s">
        <v>565</v>
      </c>
      <c r="L98" s="7" t="s">
        <v>18</v>
      </c>
      <c r="M98" s="287">
        <v>46111</v>
      </c>
      <c r="N98" s="300" t="s">
        <v>611</v>
      </c>
      <c r="O98" s="301" t="s"/>
      <c r="P98" s="300" t="s">
        <f>=IF(K98&lt;&gt;"",IF(ISBLANK(M98),IF(TODAY()-J98&gt;14,"超时","未超时"),IF(M98-J98&gt;14,"超时","未超时")),"")</f>
        <v>1601</v>
      </c>
      <c r="Q98" s="7" t="s"/>
      <c r="R98" s="290" t="s"/>
      <c r="S98" s="7" t="s"/>
      <c r="T98" s="7" t="s"/>
      <c r="U98" s="7" t="s"/>
      <c r="V98" s="7" t="s"/>
      <c r="W98" s="7" t="s"/>
      <c r="X98" s="7" t="s"/>
      <c r="Y98" s="290" t="s"/>
    </row>
    <row r="99" spans="1:25">
      <c r="A99" s="278">
        <v>98</v>
      </c>
      <c r="B99" s="279">
        <f>=_xlfn.XLOOKUP(C99,总表!B:B,总表!A:A,无,0)</f>
        <v>269</v>
      </c>
      <c r="C99" s="353" t="s">
        <v>128</v>
      </c>
      <c r="D99" s="281" t="s">
        <f>=_xlfn.XLOOKUP(C99,总表!B:B,总表!J:J,无0)</f>
        <v>15</v>
      </c>
      <c r="E99" s="282">
        <f>=_xlfn.XLOOKUP(C99,总表!B:B,总表!L:L,无,0)</f>
        <v>46104</v>
      </c>
      <c r="F99" s="283" t="s">
        <f>=_xlfn.XLOOKUP(C99,总表!B:B,总表!M:M,无,0)</f>
        <v>1216</v>
      </c>
      <c r="G99" s="284">
        <f>=_xlfn.XLOOKUP(C99,总表!B:B,总表!C:C,无,0)</f>
        <v>46101.8425462962</v>
      </c>
      <c r="H99" s="7" t="s">
        <f>=_xlfn.XLOOKUP(C99,总表!B:B,总表!F:F,无,0)</f>
        <v>228</v>
      </c>
      <c r="I99" s="11" t="s"/>
      <c r="J99" s="209">
        <v>46104</v>
      </c>
      <c r="K99" s="7" t="s">
        <v>565</v>
      </c>
      <c r="L99" s="7" t="s">
        <v>129</v>
      </c>
      <c r="M99" s="287">
        <v>46115</v>
      </c>
      <c r="N99" s="300" t="s">
        <v>611</v>
      </c>
      <c r="O99" s="301" t="s"/>
      <c r="P99" s="300" t="s">
        <f>=IF(K99&lt;&gt;"",IF(ISBLANK(M99),IF(TODAY()-J99&gt;14,"超时","未超时"),IF(M99-J99&gt;14,"超时","未超时")),"")</f>
        <v>1601</v>
      </c>
      <c r="Q99" s="7" t="s"/>
      <c r="R99" s="290" t="s"/>
      <c r="S99" s="7" t="s"/>
      <c r="T99" s="7" t="s"/>
      <c r="U99" s="7" t="s"/>
      <c r="V99" s="7" t="s"/>
      <c r="W99" s="7" t="s"/>
      <c r="X99" s="7" t="s"/>
      <c r="Y99" s="290" t="s"/>
    </row>
    <row r="100" spans="1:25">
      <c r="A100" s="278">
        <v>99</v>
      </c>
      <c r="B100" s="279">
        <f>=_xlfn.XLOOKUP(C100,总表!B:B,总表!A:A,无,0)</f>
        <v>273</v>
      </c>
      <c r="C100" s="7" t="s">
        <v>130</v>
      </c>
      <c r="D100" s="281" t="s">
        <f>=_xlfn.XLOOKUP(C100,总表!B:B,总表!J:J,无0)</f>
        <v>12</v>
      </c>
      <c r="E100" s="282">
        <f>=_xlfn.XLOOKUP(C100,总表!B:B,总表!L:L,无,0)</f>
        <v>46104</v>
      </c>
      <c r="F100" s="283" t="s">
        <f>=_xlfn.XLOOKUP(C100,总表!B:B,总表!M:M,无,0)</f>
        <v>1225</v>
      </c>
      <c r="G100" s="284">
        <f>=_xlfn.XLOOKUP(C100,总表!B:B,总表!C:C,无,0)</f>
        <v>46104.4285532407</v>
      </c>
      <c r="H100" s="7" t="s">
        <f>=_xlfn.XLOOKUP(C100,总表!B:B,总表!F:F,无,0)</f>
        <v>234</v>
      </c>
      <c r="I100" s="11" t="s"/>
      <c r="J100" s="209">
        <v>46104</v>
      </c>
      <c r="K100" s="7" t="s">
        <v>565</v>
      </c>
      <c r="L100" s="7" t="s">
        <v>35</v>
      </c>
      <c r="M100" s="287">
        <v>46113</v>
      </c>
      <c r="N100" s="300" t="s">
        <v>611</v>
      </c>
      <c r="O100" s="301" t="s"/>
      <c r="P100" s="300" t="s">
        <f>=IF(K100&lt;&gt;"",IF(ISBLANK(M100),IF(TODAY()-J100&gt;14,"超时","未超时"),IF(M100-J100&gt;14,"超时","未超时")),"")</f>
        <v>1601</v>
      </c>
      <c r="Q100" s="7" t="s">
        <v>1628</v>
      </c>
      <c r="R100" s="290" t="s"/>
      <c r="S100" s="7" t="s"/>
      <c r="T100" s="7" t="s"/>
      <c r="U100" s="7" t="s"/>
      <c r="V100" s="7" t="s"/>
      <c r="W100" s="7" t="s"/>
      <c r="X100" s="7" t="s"/>
      <c r="Y100" s="290" t="s"/>
    </row>
    <row r="101" spans="1:25">
      <c r="A101" s="278">
        <v>100</v>
      </c>
      <c r="B101" s="279">
        <f>=_xlfn.XLOOKUP(C101,总表!B:B,总表!A:A,无,0)</f>
        <v>275</v>
      </c>
      <c r="C101" s="354" t="s">
        <v>131</v>
      </c>
      <c r="D101" s="281" t="s">
        <f>=_xlfn.XLOOKUP(C101,总表!B:B,总表!J:J,无0)</f>
        <v>15</v>
      </c>
      <c r="E101" s="282">
        <f>=_xlfn.XLOOKUP(C101,总表!B:B,总表!L:L,无,0)</f>
        <v>46108</v>
      </c>
      <c r="F101" s="283" t="s">
        <f>=_xlfn.XLOOKUP(C101,总表!B:B,总表!M:M,无,0)</f>
        <v>1029</v>
      </c>
      <c r="G101" s="284">
        <f>=_xlfn.XLOOKUP(C101,总表!B:B,总表!C:C,无,0)</f>
        <v>46104.4780208333</v>
      </c>
      <c r="H101" s="7" t="s">
        <f>=_xlfn.XLOOKUP(C101,总表!B:B,总表!F:F,无,0)</f>
        <v>236</v>
      </c>
      <c r="I101" s="355" t="s">
        <v>1629</v>
      </c>
      <c r="J101" s="209">
        <v>46111</v>
      </c>
      <c r="K101" s="7" t="s">
        <v>565</v>
      </c>
      <c r="L101" s="7" t="s">
        <v>132</v>
      </c>
      <c r="M101" s="287" t="s"/>
      <c r="N101" s="300" t="s">
        <v>1608</v>
      </c>
      <c r="O101" s="301" t="s"/>
      <c r="P101" s="300" t="s">
        <f>=IF(K101&lt;&gt;"",IF(ISBLANK(M101),IF(TODAY()-J101&gt;14,"超时","未超时"),IF(M101-J101&gt;14,"超时","未超时")),"")</f>
        <v>1601</v>
      </c>
      <c r="Q101" s="7" t="s"/>
      <c r="R101" s="290" t="s"/>
      <c r="S101" s="7" t="s"/>
      <c r="T101" s="7" t="s"/>
      <c r="U101" s="7" t="s"/>
      <c r="V101" s="7" t="s"/>
      <c r="W101" s="7" t="s"/>
      <c r="X101" s="7" t="s"/>
      <c r="Y101" s="290" t="s"/>
    </row>
    <row r="102" spans="1:25">
      <c r="A102" s="278">
        <v>101</v>
      </c>
      <c r="B102" s="279">
        <f>=_xlfn.XLOOKUP(C102,总表!B:B,总表!A:A,无,0)</f>
        <v>276</v>
      </c>
      <c r="C102" s="354" t="s">
        <v>133</v>
      </c>
      <c r="D102" s="281" t="s">
        <f>=_xlfn.XLOOKUP(C102,总表!B:B,总表!J:J,无0)</f>
        <v>12</v>
      </c>
      <c r="E102" s="282">
        <f>=_xlfn.XLOOKUP(C102,总表!B:B,总表!L:L,无,0)</f>
        <v>46104</v>
      </c>
      <c r="F102" s="283" t="s">
        <f>=_xlfn.XLOOKUP(C102,总表!B:B,总表!M:M,无,0)</f>
        <v>1232</v>
      </c>
      <c r="G102" s="284">
        <f>=_xlfn.XLOOKUP(C102,总表!B:B,总表!C:C,无,0)</f>
        <v>46104.4338657408</v>
      </c>
      <c r="H102" s="7" t="s">
        <f>=_xlfn.XLOOKUP(C102,总表!B:B,总表!F:F,无,0)</f>
        <v>224</v>
      </c>
      <c r="I102" s="11" t="s">
        <v>1630</v>
      </c>
      <c r="J102" s="209">
        <v>46105</v>
      </c>
      <c r="K102" s="7" t="s">
        <v>565</v>
      </c>
      <c r="L102" s="7" t="s">
        <v>26</v>
      </c>
      <c r="M102" s="287">
        <v>46114</v>
      </c>
      <c r="N102" s="300" t="s">
        <v>611</v>
      </c>
      <c r="O102" s="301" t="s"/>
      <c r="P102" s="300" t="s">
        <f>=IF(K102&lt;&gt;"",IF(ISBLANK(M102),IF(TODAY()-J102&gt;14,"超时","未超时"),IF(M102-J102&gt;14,"超时","未超时")),"")</f>
        <v>1601</v>
      </c>
      <c r="Q102" s="7" t="s"/>
      <c r="R102" s="290" t="s"/>
      <c r="S102" s="7" t="s"/>
      <c r="T102" s="7" t="s"/>
      <c r="U102" s="7" t="s"/>
      <c r="V102" s="7" t="s"/>
      <c r="W102" s="7" t="s"/>
      <c r="X102" s="7" t="s"/>
      <c r="Y102" s="290" t="s"/>
    </row>
    <row r="103" spans="1:25">
      <c r="A103" s="278">
        <v>102</v>
      </c>
      <c r="B103" s="279">
        <f>=_xlfn.XLOOKUP(C103,总表!B:B,总表!A:A,无,0)</f>
        <v>278</v>
      </c>
      <c r="C103" s="356" t="s">
        <v>134</v>
      </c>
      <c r="D103" s="281" t="s">
        <f>=_xlfn.XLOOKUP(C103,总表!B:B,总表!J:J,无0)</f>
        <v>12</v>
      </c>
      <c r="E103" s="282">
        <f>=_xlfn.XLOOKUP(C103,总表!B:B,总表!L:L,无,0)</f>
        <v>46106</v>
      </c>
      <c r="F103" s="283" t="s">
        <f>=_xlfn.XLOOKUP(C103,总表!B:B,总表!M:M,无,0)</f>
        <v>1236</v>
      </c>
      <c r="G103" s="284">
        <f>=_xlfn.XLOOKUP(C103,总表!B:B,总表!C:C,无,0)</f>
        <v>46104.5993171296</v>
      </c>
      <c r="H103" s="7" t="s">
        <f>=_xlfn.XLOOKUP(C103,总表!B:B,总表!F:F,无,0)</f>
        <v>215</v>
      </c>
      <c r="I103" s="11" t="s">
        <v>1605</v>
      </c>
      <c r="J103" s="209">
        <v>46106</v>
      </c>
      <c r="K103" s="7" t="s">
        <v>565</v>
      </c>
      <c r="L103" s="7" t="s">
        <v>26</v>
      </c>
      <c r="M103" s="287">
        <v>46114</v>
      </c>
      <c r="N103" s="300" t="s">
        <v>611</v>
      </c>
      <c r="O103" s="301" t="s"/>
      <c r="P103" s="300" t="s">
        <f>=IF(K103&lt;&gt;"",IF(ISBLANK(M103),IF(TODAY()-J103&gt;14,"超时","未超时"),IF(M103-J103&gt;14,"超时","未超时")),"")</f>
        <v>1601</v>
      </c>
      <c r="Q103" s="7" t="s"/>
      <c r="R103" s="290" t="s"/>
      <c r="S103" s="7" t="s"/>
      <c r="T103" s="7" t="s"/>
      <c r="U103" s="7" t="s"/>
      <c r="V103" s="7" t="s"/>
      <c r="W103" s="7" t="s"/>
      <c r="X103" s="7" t="s"/>
      <c r="Y103" s="290" t="s"/>
    </row>
    <row r="104" spans="1:25">
      <c r="A104" s="278">
        <v>103</v>
      </c>
      <c r="B104" s="279">
        <f>=_xlfn.XLOOKUP(C104,总表!B:B,总表!A:A,无,0)</f>
        <v>279</v>
      </c>
      <c r="C104" s="357" t="s">
        <v>135</v>
      </c>
      <c r="D104" s="281" t="s">
        <f>=_xlfn.XLOOKUP(C104,总表!B:B,总表!J:J,无0)</f>
        <v>12</v>
      </c>
      <c r="E104" s="282">
        <f>=_xlfn.XLOOKUP(C104,总表!B:B,总表!L:L,无,0)</f>
        <v>46106</v>
      </c>
      <c r="F104" s="283" t="s">
        <f>=_xlfn.XLOOKUP(C104,总表!B:B,总表!M:M,无,0)</f>
        <v>1238</v>
      </c>
      <c r="G104" s="284">
        <f>=_xlfn.XLOOKUP(C104,总表!B:B,总表!C:C,无,0)</f>
        <v>46104.6213194445</v>
      </c>
      <c r="H104" s="7" t="s">
        <f>=_xlfn.XLOOKUP(C104,总表!B:B,总表!F:F,无,0)</f>
        <v>228</v>
      </c>
      <c r="I104" s="11" t="s">
        <v>1605</v>
      </c>
      <c r="J104" s="209">
        <v>46106</v>
      </c>
      <c r="K104" s="7" t="s">
        <v>565</v>
      </c>
      <c r="L104" s="7" t="s">
        <v>26</v>
      </c>
      <c r="M104" s="287">
        <v>46125</v>
      </c>
      <c r="N104" s="300" t="s">
        <v>611</v>
      </c>
      <c r="O104" s="301" t="s"/>
      <c r="P104" s="300" t="s">
        <f>=IF(K104&lt;&gt;"",IF(ISBLANK(M104),IF(TODAY()-J104&gt;14,"超时","未超时"),IF(M104-J104&gt;14,"超时","未超时")),"")</f>
        <v>1609</v>
      </c>
      <c r="Q104" s="7" t="s">
        <v>1621</v>
      </c>
      <c r="R104" s="290" t="s"/>
      <c r="S104" s="7" t="s"/>
      <c r="T104" s="7" t="s"/>
      <c r="U104" s="7" t="s"/>
      <c r="V104" s="7" t="s"/>
      <c r="W104" s="7" t="s"/>
      <c r="X104" s="7" t="s"/>
      <c r="Y104" s="290" t="s"/>
    </row>
    <row r="105" spans="1:25">
      <c r="A105" s="278">
        <v>104</v>
      </c>
      <c r="B105" s="279">
        <f>=_xlfn.XLOOKUP(C105,总表!B:B,总表!A:A,无,0)</f>
        <v>280</v>
      </c>
      <c r="C105" s="354" t="s">
        <v>136</v>
      </c>
      <c r="D105" s="281" t="s">
        <f>=_xlfn.XLOOKUP(C105,总表!B:B,总表!J:J,无0)</f>
        <v>12</v>
      </c>
      <c r="E105" s="282">
        <f>=_xlfn.XLOOKUP(C105,总表!B:B,总表!L:L,无,0)</f>
        <v>46105</v>
      </c>
      <c r="F105" s="283" t="s">
        <f>=_xlfn.XLOOKUP(C105,总表!B:B,总表!M:M,无,0)</f>
        <v>1240</v>
      </c>
      <c r="G105" s="284">
        <f>=_xlfn.XLOOKUP(C105,总表!B:B,总表!C:C,无,0)</f>
        <v>46104.6737847222</v>
      </c>
      <c r="H105" s="7" t="s">
        <f>=_xlfn.XLOOKUP(C105,总表!B:B,总表!F:F,无,0)</f>
        <v>215</v>
      </c>
      <c r="I105" s="11" t="s">
        <v>1631</v>
      </c>
      <c r="J105" s="209">
        <v>46105</v>
      </c>
      <c r="K105" s="7" t="s">
        <v>565</v>
      </c>
      <c r="L105" s="7" t="s">
        <v>18</v>
      </c>
      <c r="M105" s="287">
        <v>46119</v>
      </c>
      <c r="N105" s="300" t="s">
        <v>611</v>
      </c>
      <c r="O105" s="301" t="s"/>
      <c r="P105" s="300" t="s">
        <f>=IF(K105&lt;&gt;"",IF(ISBLANK(M105),IF(TODAY()-J105&gt;14,"超时","未超时"),IF(M105-J105&gt;14,"超时","未超时")),"")</f>
        <v>1601</v>
      </c>
      <c r="Q105" s="7" t="s"/>
      <c r="R105" s="290" t="s"/>
      <c r="S105" s="7" t="s"/>
      <c r="T105" s="7" t="s"/>
      <c r="U105" s="7" t="s"/>
      <c r="V105" s="7" t="s"/>
      <c r="W105" s="7" t="s"/>
      <c r="X105" s="7" t="s"/>
      <c r="Y105" s="290" t="s"/>
    </row>
    <row r="106" spans="1:25">
      <c r="A106" s="278">
        <v>105</v>
      </c>
      <c r="B106" s="279">
        <f>=_xlfn.XLOOKUP(C106,总表!B:B,总表!A:A,无,0)</f>
        <v>281</v>
      </c>
      <c r="C106" s="358" t="s">
        <v>137</v>
      </c>
      <c r="D106" s="281" t="s">
        <f>=_xlfn.XLOOKUP(C106,总表!B:B,总表!J:J,无0)</f>
        <v>12</v>
      </c>
      <c r="E106" s="282">
        <f>=_xlfn.XLOOKUP(C106,总表!B:B,总表!L:L,无,0)</f>
        <v>0</v>
      </c>
      <c r="F106" s="283">
        <f>=_xlfn.XLOOKUP(C106,总表!B:B,总表!M:M,无,0)</f>
        <v>0</v>
      </c>
      <c r="G106" s="284">
        <f>=_xlfn.XLOOKUP(C106,总表!B:B,总表!C:C,无,0)</f>
        <v>46104.703125</v>
      </c>
      <c r="H106" s="7" t="s">
        <f>=_xlfn.XLOOKUP(C106,总表!B:B,总表!F:F,无,0)</f>
        <v>236</v>
      </c>
      <c r="I106" s="11" t="s"/>
      <c r="J106" s="209" t="s"/>
      <c r="K106" s="7" t="s"/>
      <c r="L106" s="7" t="s"/>
      <c r="M106" s="287" t="s"/>
      <c r="N106" s="300" t="s"/>
      <c r="O106" s="301" t="s"/>
      <c r="P106" s="300" t="s">
        <f>=IF(K106&lt;&gt;"",IF(ISBLANK(M106),IF(TODAY()-J106&gt;14,"超时","未超时"),IF(M106-J106&gt;14,"超时","未超时")),"")</f>
      </c>
      <c r="Q106" s="7" t="s"/>
      <c r="R106" s="290" t="s"/>
      <c r="S106" s="7" t="s"/>
      <c r="T106" s="7" t="s"/>
      <c r="U106" s="7" t="s"/>
      <c r="V106" s="7" t="s"/>
      <c r="W106" s="7" t="s"/>
      <c r="X106" s="7" t="s"/>
      <c r="Y106" s="290" t="s"/>
    </row>
    <row r="107" spans="1:25">
      <c r="A107" s="278">
        <v>106</v>
      </c>
      <c r="B107" s="279">
        <f>=_xlfn.XLOOKUP(C107,总表!B:B,总表!A:A,无,0)</f>
        <v>282</v>
      </c>
      <c r="C107" s="39" t="s">
        <v>138</v>
      </c>
      <c r="D107" s="281" t="s">
        <f>=_xlfn.XLOOKUP(C107,总表!B:B,总表!J:J,无0)</f>
        <v>12</v>
      </c>
      <c r="E107" s="282">
        <f>=_xlfn.XLOOKUP(C107,总表!B:B,总表!L:L,无,0)</f>
        <v>46104</v>
      </c>
      <c r="F107" s="283" t="s">
        <f>=_xlfn.XLOOKUP(C107,总表!B:B,总表!M:M,无,0)</f>
        <v>1243</v>
      </c>
      <c r="G107" s="284">
        <f>=_xlfn.XLOOKUP(C107,总表!B:B,总表!C:C,无,0)</f>
        <v>46104.7310300926</v>
      </c>
      <c r="H107" s="7" t="s">
        <f>=_xlfn.XLOOKUP(C107,总表!B:B,总表!F:F,无,0)</f>
        <v>224</v>
      </c>
      <c r="I107" s="355" t="s">
        <v>1632</v>
      </c>
      <c r="J107" s="209">
        <v>46107</v>
      </c>
      <c r="K107" s="7" t="s">
        <v>565</v>
      </c>
      <c r="L107" s="7" t="s">
        <v>26</v>
      </c>
      <c r="M107" s="287">
        <v>46114</v>
      </c>
      <c r="N107" s="300" t="s">
        <v>611</v>
      </c>
      <c r="O107" s="301" t="s"/>
      <c r="P107" s="300" t="s">
        <f>=IF(K107&lt;&gt;"",IF(ISBLANK(M107),IF(TODAY()-J107&gt;14,"超时","未超时"),IF(M107-J107&gt;14,"超时","未超时")),"")</f>
        <v>1601</v>
      </c>
      <c r="Q107" s="7" t="s"/>
      <c r="R107" s="290" t="s"/>
      <c r="S107" s="7" t="s"/>
      <c r="T107" s="7" t="s"/>
      <c r="U107" s="7" t="s"/>
      <c r="V107" s="7" t="s"/>
      <c r="W107" s="7" t="s"/>
      <c r="X107" s="7" t="s"/>
      <c r="Y107" s="290" t="s"/>
    </row>
    <row r="108" spans="1:25">
      <c r="A108" s="278">
        <v>107</v>
      </c>
      <c r="B108" s="279">
        <f>=_xlfn.XLOOKUP(C108,总表!B:B,总表!A:A,无,0)</f>
        <v>285</v>
      </c>
      <c r="C108" s="359" t="s">
        <v>139</v>
      </c>
      <c r="D108" s="281" t="s">
        <f>=_xlfn.XLOOKUP(C108,总表!B:B,总表!J:J,无0)</f>
        <v>12</v>
      </c>
      <c r="E108" s="282">
        <f>=_xlfn.XLOOKUP(C108,总表!B:B,总表!L:L,无,0)</f>
        <v>46107</v>
      </c>
      <c r="F108" s="283" t="s">
        <f>=_xlfn.XLOOKUP(C108,总表!B:B,总表!M:M,无,0)</f>
        <v>1247</v>
      </c>
      <c r="G108" s="284">
        <f>=_xlfn.XLOOKUP(C108,总表!B:B,总表!C:C,无,0)</f>
        <v>46105.6035069445</v>
      </c>
      <c r="H108" s="7" t="s">
        <f>=_xlfn.XLOOKUP(C108,总表!B:B,总表!F:F,无,0)</f>
        <v>228</v>
      </c>
      <c r="I108" s="11" t="s">
        <v>1633</v>
      </c>
      <c r="J108" s="209">
        <v>46107</v>
      </c>
      <c r="K108" s="7" t="s">
        <v>565</v>
      </c>
      <c r="L108" s="7" t="s">
        <v>18</v>
      </c>
      <c r="M108" s="287">
        <v>46120</v>
      </c>
      <c r="N108" s="300" t="s">
        <v>611</v>
      </c>
      <c r="O108" s="301" t="s"/>
      <c r="P108" s="300" t="s">
        <f>=IF(K108&lt;&gt;"",IF(ISBLANK(M108),IF(TODAY()-J108&gt;14,"超时","未超时"),IF(M108-J108&gt;14,"超时","未超时")),"")</f>
        <v>1601</v>
      </c>
      <c r="Q108" s="7" t="s">
        <v>1623</v>
      </c>
      <c r="R108" s="290" t="s"/>
      <c r="S108" s="7" t="s"/>
      <c r="T108" s="7" t="s"/>
      <c r="U108" s="7" t="s"/>
      <c r="V108" s="7" t="s"/>
      <c r="W108" s="7" t="s"/>
      <c r="X108" s="7" t="s"/>
      <c r="Y108" s="290" t="s"/>
    </row>
    <row r="109" spans="1:25">
      <c r="A109" s="278">
        <v>108</v>
      </c>
      <c r="B109" s="279">
        <f>=_xlfn.XLOOKUP(C109,总表!B:B,总表!A:A,无,0)</f>
        <v>286</v>
      </c>
      <c r="C109" s="39" t="s">
        <v>140</v>
      </c>
      <c r="D109" s="281" t="s">
        <f>=_xlfn.XLOOKUP(C109,总表!B:B,总表!J:J,无0)</f>
        <v>12</v>
      </c>
      <c r="E109" s="282">
        <f>=_xlfn.XLOOKUP(C109,总表!B:B,总表!L:L,无,0)</f>
        <v>46106</v>
      </c>
      <c r="F109" s="283" t="s">
        <f>=_xlfn.XLOOKUP(C109,总表!B:B,总表!M:M,无,0)</f>
        <v>1250</v>
      </c>
      <c r="G109" s="284">
        <f>=_xlfn.XLOOKUP(C109,总表!B:B,总表!C:C,无,0)</f>
        <v>46105.6133796296</v>
      </c>
      <c r="H109" s="7" t="s">
        <f>=_xlfn.XLOOKUP(C109,总表!B:B,总表!F:F,无,0)</f>
        <v>228</v>
      </c>
      <c r="I109" s="11" t="s">
        <v>1605</v>
      </c>
      <c r="J109" s="209">
        <v>46106</v>
      </c>
      <c r="K109" s="7" t="s">
        <v>565</v>
      </c>
      <c r="L109" s="7" t="s">
        <v>35</v>
      </c>
      <c r="M109" s="287">
        <v>46120</v>
      </c>
      <c r="N109" s="300" t="s">
        <v>611</v>
      </c>
      <c r="O109" s="301" t="s"/>
      <c r="P109" s="300" t="s">
        <f>=IF(K109&lt;&gt;"",IF(ISBLANK(M109),IF(TODAY()-J109&gt;14,"超时","未超时"),IF(M109-J109&gt;14,"超时","未超时")),"")</f>
        <v>1601</v>
      </c>
      <c r="Q109" s="7" t="s"/>
      <c r="R109" s="290" t="s"/>
      <c r="S109" s="7" t="s"/>
      <c r="T109" s="7" t="s"/>
      <c r="U109" s="7" t="s"/>
      <c r="V109" s="7" t="s"/>
      <c r="W109" s="7" t="s"/>
      <c r="X109" s="7" t="s"/>
      <c r="Y109" s="290" t="s"/>
    </row>
    <row r="110" spans="1:25">
      <c r="A110" s="278">
        <v>109</v>
      </c>
      <c r="B110" s="279">
        <f>=_xlfn.XLOOKUP(C110,总表!B:B,总表!A:A,无,0)</f>
        <v>288</v>
      </c>
      <c r="C110" s="360" t="s">
        <v>141</v>
      </c>
      <c r="D110" s="281" t="s">
        <f>=_xlfn.XLOOKUP(C110,总表!B:B,总表!J:J,无0)</f>
        <v>12</v>
      </c>
      <c r="E110" s="282">
        <f>=_xlfn.XLOOKUP(C110,总表!B:B,总表!L:L,无,0)</f>
        <v>46106</v>
      </c>
      <c r="F110" s="283" t="s">
        <f>=_xlfn.XLOOKUP(C110,总表!B:B,总表!M:M,无,0)</f>
        <v>953</v>
      </c>
      <c r="G110" s="284">
        <f>=_xlfn.XLOOKUP(C110,总表!B:B,总表!C:C,无,0)</f>
        <v>46105.8296759259</v>
      </c>
      <c r="H110" s="7" t="s">
        <f>=_xlfn.XLOOKUP(C110,总表!B:B,总表!F:F,无,0)</f>
        <v>228</v>
      </c>
      <c r="I110" s="11" t="s">
        <v>1634</v>
      </c>
      <c r="J110" s="209">
        <v>46106</v>
      </c>
      <c r="K110" s="7" t="s">
        <v>565</v>
      </c>
      <c r="L110" s="7" t="s">
        <v>18</v>
      </c>
      <c r="M110" s="287">
        <v>46121</v>
      </c>
      <c r="N110" s="300" t="s">
        <v>611</v>
      </c>
      <c r="O110" s="301" t="s"/>
      <c r="P110" s="300" t="s">
        <f>=IF(K110&lt;&gt;"",IF(ISBLANK(M110),IF(TODAY()-J110&gt;14,"超时","未超时"),IF(M110-J110&gt;14,"超时","未超时")),"")</f>
        <v>1609</v>
      </c>
      <c r="Q110" s="7" t="s">
        <v>1635</v>
      </c>
      <c r="R110" s="290" t="s"/>
      <c r="S110" s="7" t="s"/>
      <c r="T110" s="7" t="s"/>
      <c r="U110" s="7" t="s"/>
      <c r="V110" s="7" t="s"/>
      <c r="W110" s="7" t="s"/>
      <c r="X110" s="7" t="s"/>
      <c r="Y110" s="290" t="s"/>
    </row>
    <row r="111" spans="1:25">
      <c r="A111" s="278">
        <v>110</v>
      </c>
      <c r="B111" s="279">
        <f>=_xlfn.XLOOKUP(C111,总表!B:B,总表!A:A,无,0)</f>
        <v>292</v>
      </c>
      <c r="C111" s="361" t="s">
        <v>142</v>
      </c>
      <c r="D111" s="281" t="s">
        <f>=_xlfn.XLOOKUP(C111,总表!B:B,总表!J:J,无0)</f>
        <v>12</v>
      </c>
      <c r="E111" s="282">
        <f>=_xlfn.XLOOKUP(C111,总表!B:B,总表!L:L,无,0)</f>
        <v>46114</v>
      </c>
      <c r="F111" s="283" t="s">
        <f>=_xlfn.XLOOKUP(C111,总表!B:B,总表!M:M,无,0)</f>
        <v>953</v>
      </c>
      <c r="G111" s="284">
        <f>=_xlfn.XLOOKUP(C111,总表!B:B,总表!C:C,无,0)</f>
        <v>46106.5915046296</v>
      </c>
      <c r="H111" s="7" t="s">
        <f>=_xlfn.XLOOKUP(C111,总表!B:B,总表!F:F,无,0)</f>
        <v>228</v>
      </c>
      <c r="I111" s="355" t="s">
        <v>1636</v>
      </c>
      <c r="J111" s="209">
        <v>46114</v>
      </c>
      <c r="K111" s="7" t="s">
        <v>565</v>
      </c>
      <c r="L111" s="7" t="s">
        <v>18</v>
      </c>
      <c r="M111" s="287" t="s"/>
      <c r="N111" s="300" t="s">
        <v>1608</v>
      </c>
      <c r="O111" s="301" t="s"/>
      <c r="P111" s="300" t="s">
        <f>=IF(K111&lt;&gt;"",IF(ISBLANK(M111),IF(TODAY()-J111&gt;14,"超时","未超时"),IF(M111-J111&gt;14,"超时","未超时")),"")</f>
        <v>1601</v>
      </c>
      <c r="Q111" s="7" t="s"/>
      <c r="R111" s="290" t="s"/>
      <c r="S111" s="7" t="s"/>
      <c r="T111" s="7" t="s"/>
      <c r="U111" s="7" t="s"/>
      <c r="V111" s="7" t="s"/>
      <c r="W111" s="7" t="s"/>
      <c r="X111" s="7" t="s"/>
      <c r="Y111" s="290" t="s"/>
    </row>
    <row r="112" spans="1:25">
      <c r="A112" s="278">
        <v>111</v>
      </c>
      <c r="B112" s="279">
        <f>=_xlfn.XLOOKUP(C112,总表!B:B,总表!A:A,无,0)</f>
        <v>293</v>
      </c>
      <c r="C112" s="362" t="s">
        <v>143</v>
      </c>
      <c r="D112" s="281" t="s">
        <f>=_xlfn.XLOOKUP(C112,总表!B:B,总表!J:J,无0)</f>
        <v>12</v>
      </c>
      <c r="E112" s="363">
        <f>=_xlfn.XLOOKUP(C112,总表!B:B,总表!L:L,无,0)</f>
        <v>46125</v>
      </c>
      <c r="F112" s="283" t="s">
        <f>=_xlfn.XLOOKUP(C112,总表!B:B,总表!M:M,无,0)</f>
        <v>818</v>
      </c>
      <c r="G112" s="284">
        <f>=_xlfn.XLOOKUP(C112,总表!B:B,总表!C:C,无,0)</f>
        <v>46106.7298611111</v>
      </c>
      <c r="H112" s="7" t="s">
        <f>=_xlfn.XLOOKUP(C112,总表!B:B,总表!F:F,无,0)</f>
        <v>228</v>
      </c>
      <c r="I112" s="11" t="s"/>
      <c r="J112" s="209">
        <v>46125</v>
      </c>
      <c r="K112" s="7" t="s">
        <v>565</v>
      </c>
      <c r="L112" s="7" t="s">
        <v>18</v>
      </c>
      <c r="M112" s="287" t="s"/>
      <c r="N112" s="300" t="s"/>
      <c r="O112" s="301" t="s"/>
      <c r="P112" s="300" t="s">
        <f>=IF(K112&lt;&gt;"",IF(ISBLANK(M112),IF(TODAY()-J112&gt;14,"超时","未超时"),IF(M112-J112&gt;14,"超时","未超时")),"")</f>
        <v>1601</v>
      </c>
      <c r="Q112" s="7" t="s"/>
      <c r="R112" s="290" t="s"/>
      <c r="S112" s="7" t="s"/>
      <c r="T112" s="7" t="s"/>
      <c r="U112" s="7" t="s"/>
      <c r="V112" s="7" t="s"/>
      <c r="W112" s="7" t="s"/>
      <c r="X112" s="7" t="s"/>
      <c r="Y112" s="290" t="s"/>
    </row>
    <row r="113" spans="1:25">
      <c r="A113" s="278">
        <v>112</v>
      </c>
      <c r="B113" s="279">
        <f>=_xlfn.XLOOKUP(C113,总表!B:B,总表!A:A,无,0)</f>
        <v>297</v>
      </c>
      <c r="C113" s="364" t="s">
        <v>144</v>
      </c>
      <c r="D113" s="281" t="s">
        <f>=_xlfn.XLOOKUP(C113,总表!B:B,总表!J:J,无0)</f>
        <v>12</v>
      </c>
      <c r="E113" s="282">
        <f>=_xlfn.XLOOKUP(C113,总表!B:B,总表!L:L,无,0)</f>
        <v>46111</v>
      </c>
      <c r="F113" s="283" t="s">
        <f>=_xlfn.XLOOKUP(C113,总表!B:B,总表!M:M,无,0)</f>
        <v>1266</v>
      </c>
      <c r="G113" s="284">
        <f>=_xlfn.XLOOKUP(C113,总表!B:B,总表!C:C,无,0)</f>
        <v>46106.4520833333</v>
      </c>
      <c r="H113" s="7" t="s">
        <f>=_xlfn.XLOOKUP(C113,总表!B:B,总表!F:F,无,0)</f>
        <v>228</v>
      </c>
      <c r="I113" s="11" t="s">
        <v>1637</v>
      </c>
      <c r="J113" s="209">
        <v>46111</v>
      </c>
      <c r="K113" s="7" t="s">
        <v>565</v>
      </c>
      <c r="L113" s="7" t="s">
        <v>26</v>
      </c>
      <c r="M113" s="287" t="s"/>
      <c r="N113" s="300" t="s">
        <v>1608</v>
      </c>
      <c r="O113" s="301" t="s"/>
      <c r="P113" s="300" t="s">
        <f>=IF(K113&lt;&gt;"",IF(ISBLANK(M113),IF(TODAY()-J113&gt;14,"超时","未超时"),IF(M113-J113&gt;14,"超时","未超时")),"")</f>
        <v>1601</v>
      </c>
      <c r="Q113" s="7" t="s"/>
      <c r="R113" s="290" t="s"/>
      <c r="S113" s="7" t="s"/>
      <c r="T113" s="7" t="s"/>
      <c r="U113" s="7" t="s"/>
      <c r="V113" s="7" t="s"/>
      <c r="W113" s="7" t="s"/>
      <c r="X113" s="7" t="s"/>
      <c r="Y113" s="290" t="s"/>
    </row>
    <row r="114" spans="1:25">
      <c r="A114" s="278">
        <v>113</v>
      </c>
      <c r="B114" s="279">
        <f>=_xlfn.XLOOKUP(C114,总表!B:B,总表!A:A,无,0)</f>
        <v>298</v>
      </c>
      <c r="C114" s="365" t="s">
        <v>145</v>
      </c>
      <c r="D114" s="281" t="s">
        <f>=_xlfn.XLOOKUP(C114,总表!B:B,总表!J:J,无0)</f>
        <v>12</v>
      </c>
      <c r="E114" s="282">
        <f>=_xlfn.XLOOKUP(C114,总表!B:B,总表!L:L,无,0)</f>
        <v>46107</v>
      </c>
      <c r="F114" s="283" t="s">
        <f>=_xlfn.XLOOKUP(C114,总表!B:B,总表!M:M,无,0)</f>
        <v>953</v>
      </c>
      <c r="G114" s="284">
        <f>=_xlfn.XLOOKUP(C114,总表!B:B,总表!C:C,无,0)</f>
        <v>46106.4666666667</v>
      </c>
      <c r="H114" s="7" t="s">
        <f>=_xlfn.XLOOKUP(C114,总表!B:B,总表!F:F,无,0)</f>
        <v>228</v>
      </c>
      <c r="I114" s="11" t="s">
        <v>1638</v>
      </c>
      <c r="J114" s="209">
        <v>46107</v>
      </c>
      <c r="K114" s="7" t="s">
        <v>565</v>
      </c>
      <c r="L114" s="7" t="s">
        <v>35</v>
      </c>
      <c r="M114" s="287" t="s"/>
      <c r="N114" s="300" t="s">
        <v>1608</v>
      </c>
      <c r="O114" s="301" t="s"/>
      <c r="P114" s="300" t="s">
        <f>=IF(K114&lt;&gt;"",IF(ISBLANK(M114),IF(TODAY()-J114&gt;14,"超时","未超时"),IF(M114-J114&gt;14,"超时","未超时")),"")</f>
        <v>1609</v>
      </c>
      <c r="Q114" s="7" t="s">
        <v>1639</v>
      </c>
      <c r="R114" s="290" t="s"/>
      <c r="S114" s="7" t="s"/>
      <c r="T114" s="7" t="s"/>
      <c r="U114" s="7" t="s"/>
      <c r="V114" s="7" t="s"/>
      <c r="W114" s="7" t="s"/>
      <c r="X114" s="7" t="s"/>
      <c r="Y114" s="290" t="s"/>
    </row>
    <row r="115" spans="1:25">
      <c r="A115" s="278">
        <v>114</v>
      </c>
      <c r="B115" s="279">
        <f>=_xlfn.XLOOKUP(C115,总表!B:B,总表!A:A,无,0)</f>
        <v>300</v>
      </c>
      <c r="C115" s="364" t="s">
        <v>146</v>
      </c>
      <c r="D115" s="281" t="s">
        <f>=_xlfn.XLOOKUP(C115,总表!B:B,总表!J:J,无0)</f>
        <v>12</v>
      </c>
      <c r="E115" s="282">
        <f>=_xlfn.XLOOKUP(C115,总表!B:B,总表!L:L,无,0)</f>
        <v>46108</v>
      </c>
      <c r="F115" s="283" t="s">
        <f>=_xlfn.XLOOKUP(C115,总表!B:B,总表!M:M,无,0)</f>
        <v>1274</v>
      </c>
      <c r="G115" s="284">
        <f>=_xlfn.XLOOKUP(C115,总表!B:B,总表!C:C,无,0)</f>
        <v>46106.6819444445</v>
      </c>
      <c r="H115" s="7" t="s">
        <f>=_xlfn.XLOOKUP(C115,总表!B:B,总表!F:F,无,0)</f>
        <v>224</v>
      </c>
      <c r="I115" s="11" t="s">
        <v>1626</v>
      </c>
      <c r="J115" s="209">
        <v>46108</v>
      </c>
      <c r="K115" s="7" t="s">
        <v>565</v>
      </c>
      <c r="L115" s="7" t="s">
        <v>26</v>
      </c>
      <c r="M115" s="287">
        <v>46114</v>
      </c>
      <c r="N115" s="300" t="s">
        <v>611</v>
      </c>
      <c r="O115" s="301" t="s"/>
      <c r="P115" s="300" t="s">
        <f>=IF(K115&lt;&gt;"",IF(ISBLANK(M115),IF(TODAY()-J115&gt;14,"超时","未超时"),IF(M115-J115&gt;14,"超时","未超时")),"")</f>
        <v>1601</v>
      </c>
      <c r="Q115" s="7" t="s">
        <v>1640</v>
      </c>
      <c r="R115" s="290" t="s"/>
      <c r="S115" s="7" t="s"/>
      <c r="T115" s="7" t="s"/>
      <c r="U115" s="7" t="s"/>
      <c r="V115" s="7" t="s"/>
      <c r="W115" s="7" t="s"/>
      <c r="X115" s="7" t="s"/>
      <c r="Y115" s="290" t="s"/>
    </row>
    <row r="116" spans="1:25">
      <c r="A116" s="278">
        <v>115</v>
      </c>
      <c r="B116" s="279">
        <f>=_xlfn.XLOOKUP(C116,总表!B:B,总表!A:A,无,0)</f>
        <v>302</v>
      </c>
      <c r="C116" s="362" t="s">
        <v>147</v>
      </c>
      <c r="D116" s="281" t="s">
        <f>=_xlfn.XLOOKUP(C116,总表!B:B,总表!J:J,无0)</f>
        <v>12</v>
      </c>
      <c r="E116" s="282">
        <f>=_xlfn.XLOOKUP(C116,总表!B:B,总表!L:L,无,0)</f>
        <v>46115</v>
      </c>
      <c r="F116" s="283" t="s">
        <f>=_xlfn.XLOOKUP(C116,总表!B:B,总表!M:M,无,0)</f>
        <v>1277</v>
      </c>
      <c r="G116" s="284">
        <f>=_xlfn.XLOOKUP(C116,总表!B:B,总表!C:C,无,0)</f>
        <v>46106.5013888889</v>
      </c>
      <c r="H116" s="7" t="s">
        <f>=_xlfn.XLOOKUP(C116,总表!B:B,总表!F:F,无,0)</f>
        <v>236</v>
      </c>
      <c r="I116" s="11" t="s"/>
      <c r="J116" s="209">
        <v>46119</v>
      </c>
      <c r="K116" s="7" t="s">
        <v>565</v>
      </c>
      <c r="L116" s="7" t="s">
        <v>18</v>
      </c>
      <c r="M116" s="287" t="s"/>
      <c r="N116" s="300" t="s">
        <v>1608</v>
      </c>
      <c r="O116" s="301" t="s"/>
      <c r="P116" s="300" t="s">
        <f>=IF(K116&lt;&gt;"",IF(ISBLANK(M116),IF(TODAY()-J116&gt;14,"超时","未超时"),IF(M116-J116&gt;14,"超时","未超时")),"")</f>
        <v>1601</v>
      </c>
      <c r="Q116" s="7" t="s"/>
      <c r="R116" s="290" t="s"/>
      <c r="S116" s="7" t="s"/>
      <c r="T116" s="7" t="s"/>
      <c r="U116" s="7" t="s"/>
      <c r="V116" s="7" t="s"/>
      <c r="W116" s="7" t="s"/>
      <c r="X116" s="7" t="s"/>
      <c r="Y116" s="290" t="s"/>
    </row>
    <row r="117" spans="1:25">
      <c r="A117" s="278">
        <v>116</v>
      </c>
      <c r="B117" s="279">
        <f>=_xlfn.XLOOKUP(C117,总表!B:B,总表!A:A,无,0)</f>
        <v>307</v>
      </c>
      <c r="C117" s="366" t="s">
        <v>148</v>
      </c>
      <c r="D117" s="281" t="s">
        <f>=_xlfn.XLOOKUP(C117,总表!B:B,总表!J:J,无0)</f>
        <v>12</v>
      </c>
      <c r="E117" s="282">
        <f>=_xlfn.XLOOKUP(C117,总表!B:B,总表!L:L,无,0)</f>
        <v>46113</v>
      </c>
      <c r="F117" s="283" t="s">
        <f>=_xlfn.XLOOKUP(C117,总表!B:B,总表!M:M,无,0)</f>
        <v>1288</v>
      </c>
      <c r="G117" s="284">
        <f>=_xlfn.XLOOKUP(C117,总表!B:B,总表!C:C,无,0)</f>
        <v>46107.4811458333</v>
      </c>
      <c r="H117" s="7" t="s">
        <f>=_xlfn.XLOOKUP(C117,总表!B:B,总表!F:F,无,0)</f>
        <v>234</v>
      </c>
      <c r="I117" s="11" t="s">
        <v>1641</v>
      </c>
      <c r="J117" s="209">
        <v>46113</v>
      </c>
      <c r="K117" s="7" t="s">
        <v>565</v>
      </c>
      <c r="L117" s="7" t="s">
        <v>18</v>
      </c>
      <c r="M117" s="287" t="s"/>
      <c r="N117" s="300" t="s">
        <v>1608</v>
      </c>
      <c r="O117" s="301" t="s"/>
      <c r="P117" s="300" t="s">
        <f>=IF(K117&lt;&gt;"",IF(ISBLANK(M117),IF(TODAY()-J117&gt;14,"超时","未超时"),IF(M117-J117&gt;14,"超时","未超时")),"")</f>
        <v>1601</v>
      </c>
      <c r="Q117" s="7" t="s"/>
      <c r="R117" s="290" t="s"/>
      <c r="S117" s="7" t="s"/>
      <c r="T117" s="7" t="s"/>
      <c r="U117" s="7" t="s"/>
      <c r="V117" s="7" t="s"/>
      <c r="W117" s="7" t="s"/>
      <c r="X117" s="7" t="s"/>
      <c r="Y117" s="290" t="s"/>
    </row>
    <row r="118" spans="1:25">
      <c r="A118" s="278">
        <v>117</v>
      </c>
      <c r="B118" s="279">
        <f>=_xlfn.XLOOKUP(C118,总表!B:B,总表!A:A,无,0)</f>
        <v>308</v>
      </c>
      <c r="C118" s="367" t="s">
        <v>149</v>
      </c>
      <c r="D118" s="281" t="s">
        <f>=_xlfn.XLOOKUP(C118,总表!B:B,总表!J:J,无0)</f>
        <v>12</v>
      </c>
      <c r="E118" s="282">
        <f>=_xlfn.XLOOKUP(C118,总表!B:B,总表!L:L,无,0)</f>
        <v>46114</v>
      </c>
      <c r="F118" s="283" t="s">
        <f>=_xlfn.XLOOKUP(C118,总表!B:B,总表!M:M,无,0)</f>
        <v>610</v>
      </c>
      <c r="G118" s="284">
        <f>=_xlfn.XLOOKUP(C118,总表!B:B,总表!C:C,无,0)</f>
        <v>46107.6123842593</v>
      </c>
      <c r="H118" s="7" t="s">
        <f>=_xlfn.XLOOKUP(C118,总表!B:B,总表!F:F,无,0)</f>
        <v>224</v>
      </c>
      <c r="I118" s="11" t="s">
        <v>1642</v>
      </c>
      <c r="J118" s="209">
        <v>46114</v>
      </c>
      <c r="K118" s="7" t="s">
        <v>565</v>
      </c>
      <c r="L118" s="7" t="s">
        <v>18</v>
      </c>
      <c r="M118" s="287" t="s"/>
      <c r="N118" s="300" t="s">
        <v>1608</v>
      </c>
      <c r="O118" s="301" t="s"/>
      <c r="P118" s="300" t="s">
        <f>=IF(K118&lt;&gt;"",IF(ISBLANK(M118),IF(TODAY()-J118&gt;14,"超时","未超时"),IF(M118-J118&gt;14,"超时","未超时")),"")</f>
        <v>1601</v>
      </c>
      <c r="Q118" s="7" t="s"/>
      <c r="R118" s="290" t="s"/>
      <c r="S118" s="7" t="s"/>
      <c r="T118" s="7" t="s"/>
      <c r="U118" s="7" t="s"/>
      <c r="V118" s="7" t="s"/>
      <c r="W118" s="7" t="s"/>
      <c r="X118" s="7" t="s"/>
      <c r="Y118" s="290" t="s"/>
    </row>
    <row r="119" spans="1:25">
      <c r="A119" s="278">
        <v>118</v>
      </c>
      <c r="B119" s="279">
        <f>=_xlfn.XLOOKUP(C119,总表!B:B,总表!A:A,无,0)</f>
        <v>309</v>
      </c>
      <c r="C119" s="368" t="s">
        <v>150</v>
      </c>
      <c r="D119" s="281" t="s">
        <f>=_xlfn.XLOOKUP(C119,总表!B:B,总表!J:J,无0)</f>
        <v>12</v>
      </c>
      <c r="E119" s="282">
        <f>=_xlfn.XLOOKUP(C119,总表!B:B,总表!L:L,无,0)</f>
        <v>46108</v>
      </c>
      <c r="F119" s="283" t="s">
        <f>=_xlfn.XLOOKUP(C119,总表!B:B,总表!M:M,无,0)</f>
        <v>1291</v>
      </c>
      <c r="G119" s="284">
        <f>=_xlfn.XLOOKUP(C119,总表!B:B,总表!C:C,无,0)</f>
        <v>46107.5900347222</v>
      </c>
      <c r="H119" s="7" t="s">
        <f>=_xlfn.XLOOKUP(C119,总表!B:B,总表!F:F,无,0)</f>
        <v>228</v>
      </c>
      <c r="I119" s="11" t="s">
        <v>1626</v>
      </c>
      <c r="J119" s="209">
        <v>46108</v>
      </c>
      <c r="K119" s="7" t="s">
        <v>565</v>
      </c>
      <c r="L119" s="7" t="s">
        <v>18</v>
      </c>
      <c r="M119" s="287">
        <v>46125</v>
      </c>
      <c r="N119" s="300" t="s">
        <v>611</v>
      </c>
      <c r="O119" s="301" t="s"/>
      <c r="P119" s="300" t="s">
        <f>=IF(K119&lt;&gt;"",IF(ISBLANK(M119),IF(TODAY()-J119&gt;14,"超时","未超时"),IF(M119-J119&gt;14,"超时","未超时")),"")</f>
        <v>1609</v>
      </c>
      <c r="Q119" s="7" t="s">
        <v>1635</v>
      </c>
      <c r="R119" s="290" t="s"/>
      <c r="S119" s="7" t="s"/>
      <c r="T119" s="7" t="s"/>
      <c r="U119" s="7" t="s"/>
      <c r="V119" s="7" t="s"/>
      <c r="W119" s="7" t="s"/>
      <c r="X119" s="7" t="s"/>
      <c r="Y119" s="290" t="s"/>
    </row>
    <row r="120" spans="1:25">
      <c r="A120" s="278">
        <v>119</v>
      </c>
      <c r="B120" s="279">
        <f>=_xlfn.XLOOKUP(C120,总表!B:B,总表!A:A,无,0)</f>
        <v>310</v>
      </c>
      <c r="C120" s="369" t="s">
        <v>151</v>
      </c>
      <c r="D120" s="281" t="s">
        <f>=_xlfn.XLOOKUP(C120,总表!B:B,总表!J:J,无0)</f>
        <v>15</v>
      </c>
      <c r="E120" s="282">
        <f>=_xlfn.XLOOKUP(C120,总表!B:B,总表!L:L,无,0)</f>
        <v>46111</v>
      </c>
      <c r="F120" s="283" t="s">
        <f>=_xlfn.XLOOKUP(C120,总表!B:B,总表!M:M,无,0)</f>
        <v>1295</v>
      </c>
      <c r="G120" s="284">
        <f>=_xlfn.XLOOKUP(C120,总表!B:B,总表!C:C,无,0)</f>
        <v>46107.6009490741</v>
      </c>
      <c r="H120" s="7" t="s">
        <f>=_xlfn.XLOOKUP(C120,总表!B:B,总表!F:F,无,0)</f>
        <v>215</v>
      </c>
      <c r="I120" s="11" t="s">
        <v>1643</v>
      </c>
      <c r="J120" s="209">
        <v>46111</v>
      </c>
      <c r="K120" s="7" t="s">
        <v>565</v>
      </c>
      <c r="L120" s="7" t="s">
        <v>152</v>
      </c>
      <c r="M120" s="287">
        <v>46120</v>
      </c>
      <c r="N120" s="300" t="s">
        <v>611</v>
      </c>
      <c r="O120" s="301" t="s"/>
      <c r="P120" s="300" t="s">
        <f>=IF(K120&lt;&gt;"",IF(ISBLANK(M120),IF(TODAY()-J120&gt;14,"超时","未超时"),IF(M120-J120&gt;14,"超时","未超时")),"")</f>
        <v>1601</v>
      </c>
      <c r="Q120" s="7" t="s"/>
      <c r="R120" s="290" t="s"/>
      <c r="S120" s="7" t="s"/>
      <c r="T120" s="7" t="s"/>
      <c r="U120" s="7" t="s"/>
      <c r="V120" s="7" t="s"/>
      <c r="W120" s="7" t="s"/>
      <c r="X120" s="7" t="s"/>
      <c r="Y120" s="290" t="s"/>
    </row>
    <row r="121" spans="1:25">
      <c r="A121" s="278">
        <v>120</v>
      </c>
      <c r="B121" s="279">
        <f>=_xlfn.XLOOKUP(C121,总表!B:B,总表!A:A,无,0)</f>
        <v>316</v>
      </c>
      <c r="C121" s="370" t="s">
        <v>153</v>
      </c>
      <c r="D121" s="281" t="s">
        <f>=_xlfn.XLOOKUP(C121,总表!B:B,总表!J:J,无0)</f>
        <v>12</v>
      </c>
      <c r="E121" s="282">
        <f>=_xlfn.XLOOKUP(C121,总表!B:B,总表!L:L,无,0)</f>
        <v>46108</v>
      </c>
      <c r="F121" s="283" t="s">
        <f>=_xlfn.XLOOKUP(C121,总表!B:B,总表!M:M,无,0)</f>
        <v>1305</v>
      </c>
      <c r="G121" s="284">
        <f>=_xlfn.XLOOKUP(C121,总表!B:B,总表!C:C,无,0)</f>
        <v>46108.4334606482</v>
      </c>
      <c r="H121" s="7" t="s">
        <f>=_xlfn.XLOOKUP(C121,总表!B:B,总表!F:F,无,0)</f>
        <v>228</v>
      </c>
      <c r="I121" s="11" t="s">
        <v>1626</v>
      </c>
      <c r="J121" s="209">
        <v>46108</v>
      </c>
      <c r="K121" s="7" t="s">
        <v>565</v>
      </c>
      <c r="L121" s="7" t="s">
        <v>26</v>
      </c>
      <c r="M121" s="287">
        <v>46120</v>
      </c>
      <c r="N121" s="300" t="s">
        <v>611</v>
      </c>
      <c r="O121" s="301" t="s"/>
      <c r="P121" s="300" t="s">
        <f>=IF(K121&lt;&gt;"",IF(ISBLANK(M121),IF(TODAY()-J121&gt;14,"超时","未超时"),IF(M121-J121&gt;14,"超时","未超时")),"")</f>
        <v>1601</v>
      </c>
      <c r="Q121" s="7" t="s"/>
      <c r="R121" s="290" t="s"/>
      <c r="S121" s="7" t="s"/>
      <c r="T121" s="7" t="s"/>
      <c r="U121" s="7" t="s"/>
      <c r="V121" s="7" t="s"/>
      <c r="W121" s="7" t="s"/>
      <c r="X121" s="7" t="s"/>
      <c r="Y121" s="290" t="s"/>
    </row>
    <row r="122" spans="1:25">
      <c r="A122" s="278">
        <v>121</v>
      </c>
      <c r="B122" s="279">
        <f>=_xlfn.XLOOKUP(C122,总表!B:B,总表!A:A,无,0)</f>
        <v>318</v>
      </c>
      <c r="C122" s="371" t="s">
        <v>154</v>
      </c>
      <c r="D122" s="281" t="s">
        <f>=_xlfn.XLOOKUP(C122,总表!B:B,总表!J:J,无0)</f>
        <v>15</v>
      </c>
      <c r="E122" s="282">
        <f>=_xlfn.XLOOKUP(C122,总表!B:B,总表!L:L,无,0)</f>
        <v>46113</v>
      </c>
      <c r="F122" s="283" t="s">
        <f>=_xlfn.XLOOKUP(C122,总表!B:B,总表!M:M,无,0)</f>
        <v>953</v>
      </c>
      <c r="G122" s="284">
        <f>=_xlfn.XLOOKUP(C122,总表!B:B,总表!C:C,无,0)</f>
        <v>46108.4422106482</v>
      </c>
      <c r="H122" s="7" t="s">
        <f>=_xlfn.XLOOKUP(C122,总表!B:B,总表!F:F,无,0)</f>
        <v>228</v>
      </c>
      <c r="I122" s="11" t="s">
        <v>1644</v>
      </c>
      <c r="J122" s="209">
        <v>46113</v>
      </c>
      <c r="K122" s="7" t="s">
        <v>565</v>
      </c>
      <c r="L122" s="7" t="s">
        <v>155</v>
      </c>
      <c r="M122" s="287">
        <v>46121</v>
      </c>
      <c r="N122" s="300" t="s">
        <v>1645</v>
      </c>
      <c r="O122" s="301" t="s"/>
      <c r="P122" s="300" t="s">
        <f>=IF(K122&lt;&gt;"",IF(ISBLANK(M122),IF(TODAY()-J122&gt;14,"超时","未超时"),IF(M122-J122&gt;14,"超时","未超时")),"")</f>
        <v>1601</v>
      </c>
      <c r="Q122" s="7" t="s">
        <v>1646</v>
      </c>
      <c r="R122" s="290" t="s"/>
      <c r="S122" s="7" t="s"/>
      <c r="T122" s="7" t="s"/>
      <c r="U122" s="7" t="s"/>
      <c r="V122" s="7" t="s"/>
      <c r="W122" s="7" t="s"/>
      <c r="X122" s="7" t="s"/>
      <c r="Y122" s="290" t="s"/>
    </row>
    <row r="123" spans="1:25">
      <c r="A123" s="278">
        <v>122</v>
      </c>
      <c r="B123" s="279">
        <f>=_xlfn.XLOOKUP(C123,总表!B:B,总表!A:A,无,0)</f>
        <v>319</v>
      </c>
      <c r="C123" s="372" t="s">
        <v>156</v>
      </c>
      <c r="D123" s="281" t="s">
        <f>=_xlfn.XLOOKUP(C123,总表!B:B,总表!J:J,无0)</f>
        <v>12</v>
      </c>
      <c r="E123" s="282">
        <f>=_xlfn.XLOOKUP(C123,总表!B:B,总表!L:L,无,0)</f>
        <v>46111</v>
      </c>
      <c r="F123" s="283" t="s">
        <f>=_xlfn.XLOOKUP(C123,总表!B:B,总表!M:M,无,0)</f>
        <v>1310</v>
      </c>
      <c r="G123" s="284">
        <f>=_xlfn.XLOOKUP(C123,总表!B:B,总表!C:C,无,0)</f>
        <v>46108.4435185185</v>
      </c>
      <c r="H123" s="7" t="s">
        <f>=_xlfn.XLOOKUP(C123,总表!B:B,总表!F:F,无,0)</f>
        <v>215</v>
      </c>
      <c r="I123" s="11" t="s">
        <v>1647</v>
      </c>
      <c r="J123" s="209">
        <v>46111</v>
      </c>
      <c r="K123" s="7" t="s">
        <v>565</v>
      </c>
      <c r="L123" s="7" t="s">
        <v>26</v>
      </c>
      <c r="M123" s="287">
        <v>46119</v>
      </c>
      <c r="N123" s="300" t="s">
        <v>611</v>
      </c>
      <c r="O123" s="301" t="s"/>
      <c r="P123" s="300" t="s">
        <f>=IF(K123&lt;&gt;"",IF(ISBLANK(M123),IF(TODAY()-J123&gt;14,"超时","未超时"),IF(M123-J123&gt;14,"超时","未超时")),"")</f>
        <v>1601</v>
      </c>
      <c r="Q123" s="7" t="s"/>
      <c r="R123" s="290" t="s"/>
      <c r="S123" s="7" t="s"/>
      <c r="T123" s="7" t="s"/>
      <c r="U123" s="7" t="s"/>
      <c r="V123" s="7" t="s"/>
      <c r="W123" s="7" t="s"/>
      <c r="X123" s="7" t="s"/>
      <c r="Y123" s="290" t="s"/>
    </row>
    <row r="124" spans="1:25">
      <c r="A124" s="278">
        <v>123</v>
      </c>
      <c r="B124" s="279">
        <f>=_xlfn.XLOOKUP(C124,总表!B:B,总表!A:A,无,0)</f>
        <v>322</v>
      </c>
      <c r="C124" s="370" t="s">
        <v>157</v>
      </c>
      <c r="D124" s="281" t="s">
        <f>=_xlfn.XLOOKUP(C124,总表!B:B,总表!J:J,无0)</f>
        <v>12</v>
      </c>
      <c r="E124" s="282">
        <f>=_xlfn.XLOOKUP(C124,总表!B:B,总表!L:L,无,0)</f>
        <v>46112</v>
      </c>
      <c r="F124" s="283" t="s">
        <f>=_xlfn.XLOOKUP(C124,总表!B:B,总表!M:M,无,0)</f>
        <v>1247</v>
      </c>
      <c r="G124" s="284">
        <f>=_xlfn.XLOOKUP(C124,总表!B:B,总表!C:C,无,0)</f>
        <v>46111.3750231482</v>
      </c>
      <c r="H124" s="7" t="s">
        <f>=_xlfn.XLOOKUP(C124,总表!B:B,总表!F:F,无,0)</f>
        <v>228</v>
      </c>
      <c r="I124" s="279" t="s">
        <v>1617</v>
      </c>
      <c r="J124" s="209">
        <v>46112</v>
      </c>
      <c r="K124" s="7" t="s">
        <v>565</v>
      </c>
      <c r="L124" s="7" t="s">
        <v>26</v>
      </c>
      <c r="M124" s="287" t="s"/>
      <c r="N124" s="300" t="s">
        <v>1608</v>
      </c>
      <c r="O124" s="301" t="s"/>
      <c r="P124" s="300" t="s">
        <f>=IF(K124&lt;&gt;"",IF(ISBLANK(M124),IF(TODAY()-J124&gt;14,"超时","未超时"),IF(M124-J124&gt;14,"超时","未超时")),"")</f>
        <v>1601</v>
      </c>
      <c r="Q124" s="7" t="s"/>
      <c r="R124" s="290" t="s"/>
      <c r="S124" s="7" t="s"/>
      <c r="T124" s="7" t="s"/>
      <c r="U124" s="7" t="s"/>
      <c r="V124" s="7" t="s"/>
      <c r="W124" s="7" t="s"/>
      <c r="X124" s="7" t="s"/>
      <c r="Y124" s="290" t="s"/>
    </row>
    <row r="125" spans="1:25">
      <c r="A125" s="278">
        <v>124</v>
      </c>
      <c r="B125" s="279">
        <f>=_xlfn.XLOOKUP(C125,总表!B:B,总表!A:A,无,0)</f>
        <v>324</v>
      </c>
      <c r="C125" s="373" t="s">
        <v>158</v>
      </c>
      <c r="D125" s="281" t="s">
        <f>=_xlfn.XLOOKUP(C125,总表!B:B,总表!J:J,无0)</f>
        <v>12</v>
      </c>
      <c r="E125" s="282">
        <f>=_xlfn.XLOOKUP(C125,总表!B:B,总表!L:L,无,0)</f>
        <v>0</v>
      </c>
      <c r="F125" s="283">
        <f>=_xlfn.XLOOKUP(C125,总表!B:B,总表!M:M,无,0)</f>
        <v>0</v>
      </c>
      <c r="G125" s="284">
        <f>=_xlfn.XLOOKUP(C125,总表!B:B,总表!C:C,无,0)</f>
        <v>46111.4597222222</v>
      </c>
      <c r="H125" s="7" t="s">
        <f>=_xlfn.XLOOKUP(C125,总表!B:B,总表!F:F,无,0)</f>
        <v>215</v>
      </c>
      <c r="I125" s="374" t="s"/>
      <c r="J125" s="209" t="s"/>
      <c r="K125" s="7" t="s"/>
      <c r="L125" s="7" t="s"/>
      <c r="M125" s="287" t="s"/>
      <c r="N125" s="300" t="s"/>
      <c r="O125" s="301" t="s"/>
      <c r="P125" s="300" t="s">
        <f>=IF(K125&lt;&gt;"",IF(ISBLANK(M125),IF(TODAY()-J125&gt;14,"超时","未超时"),IF(M125-J125&gt;14,"超时","未超时")),"")</f>
      </c>
      <c r="Q125" s="7" t="s"/>
      <c r="R125" s="290" t="s"/>
      <c r="S125" s="7" t="s"/>
      <c r="T125" s="7" t="s"/>
      <c r="U125" s="7" t="s"/>
      <c r="V125" s="7" t="s"/>
      <c r="W125" s="7" t="s"/>
      <c r="X125" s="7" t="s"/>
      <c r="Y125" s="290" t="s"/>
    </row>
    <row r="126" spans="1:25">
      <c r="A126" s="278">
        <v>125</v>
      </c>
      <c r="B126" s="279">
        <f>=_xlfn.XLOOKUP(C126,总表!B:B,总表!A:A,无,0)</f>
        <v>326</v>
      </c>
      <c r="C126" s="375" t="s">
        <v>159</v>
      </c>
      <c r="D126" s="281" t="s">
        <f>=_xlfn.XLOOKUP(C126,总表!B:B,总表!J:J,无0)</f>
        <v>12</v>
      </c>
      <c r="E126" s="282">
        <f>=_xlfn.XLOOKUP(C126,总表!B:B,总表!L:L,无,0)</f>
        <v>46115</v>
      </c>
      <c r="F126" s="283" t="s">
        <f>=_xlfn.XLOOKUP(C126,总表!B:B,总表!M:M,无,0)</f>
        <v>1247</v>
      </c>
      <c r="G126" s="284">
        <f>=_xlfn.XLOOKUP(C126,总表!B:B,总表!C:C,无,0)</f>
        <v>46111.4918634259</v>
      </c>
      <c r="H126" s="7" t="s">
        <f>=_xlfn.XLOOKUP(C126,总表!B:B,总表!F:F,无,0)</f>
        <v>228</v>
      </c>
      <c r="I126" s="374" t="s"/>
      <c r="J126" s="209">
        <v>46119</v>
      </c>
      <c r="K126" s="7" t="s">
        <v>565</v>
      </c>
      <c r="L126" s="7" t="s">
        <v>26</v>
      </c>
      <c r="M126" s="287" t="s"/>
      <c r="N126" s="300" t="s">
        <v>1608</v>
      </c>
      <c r="O126" s="301" t="s"/>
      <c r="P126" s="300" t="s">
        <f>=IF(K126&lt;&gt;"",IF(ISBLANK(M126),IF(TODAY()-J126&gt;14,"超时","未超时"),IF(M126-J126&gt;14,"超时","未超时")),"")</f>
        <v>1601</v>
      </c>
      <c r="Q126" s="7" t="s"/>
      <c r="R126" s="290" t="s"/>
      <c r="S126" s="7" t="s"/>
      <c r="T126" s="7" t="s"/>
      <c r="U126" s="7" t="s"/>
      <c r="V126" s="7" t="s"/>
      <c r="W126" s="7" t="s"/>
      <c r="X126" s="7" t="s"/>
      <c r="Y126" s="290" t="s"/>
    </row>
    <row r="127" spans="1:25">
      <c r="A127" s="278">
        <v>126</v>
      </c>
      <c r="B127" s="279">
        <f>=_xlfn.XLOOKUP(C127,总表!B:B,总表!A:A,无,0)</f>
        <v>327</v>
      </c>
      <c r="C127" s="376" t="s">
        <v>160</v>
      </c>
      <c r="D127" s="281" t="s">
        <f>=_xlfn.XLOOKUP(C127,总表!B:B,总表!J:J,无0)</f>
        <v>12</v>
      </c>
      <c r="E127" s="282">
        <f>=_xlfn.XLOOKUP(C127,总表!B:B,总表!L:L,无,0)</f>
        <v>46121</v>
      </c>
      <c r="F127" s="283" t="s">
        <f>=_xlfn.XLOOKUP(C127,总表!B:B,总表!M:M,无,0)</f>
        <v>610</v>
      </c>
      <c r="G127" s="284">
        <f>=_xlfn.XLOOKUP(C127,总表!B:B,总表!C:C,无,0)</f>
        <v>46111.5080208333</v>
      </c>
      <c r="H127" s="7" t="s">
        <f>=_xlfn.XLOOKUP(C127,总表!B:B,总表!F:F,无,0)</f>
        <v>236</v>
      </c>
      <c r="I127" s="374" t="s">
        <v>1648</v>
      </c>
      <c r="J127" s="209">
        <v>46121</v>
      </c>
      <c r="K127" s="7" t="s">
        <v>565</v>
      </c>
      <c r="L127" s="7" t="s">
        <v>26</v>
      </c>
      <c r="M127" s="287" t="s"/>
      <c r="N127" s="300" t="s"/>
      <c r="O127" s="301" t="s"/>
      <c r="P127" s="300" t="s">
        <f>=IF(K127&lt;&gt;"",IF(ISBLANK(M127),IF(TODAY()-J127&gt;14,"超时","未超时"),IF(M127-J127&gt;14,"超时","未超时")),"")</f>
        <v>1601</v>
      </c>
      <c r="Q127" s="7" t="s"/>
      <c r="R127" s="290" t="s"/>
      <c r="S127" s="7" t="s"/>
      <c r="T127" s="7" t="s"/>
      <c r="U127" s="7" t="s"/>
      <c r="V127" s="7" t="s"/>
      <c r="W127" s="7" t="s"/>
      <c r="X127" s="7" t="s"/>
      <c r="Y127" s="290" t="s"/>
    </row>
    <row r="128" spans="1:25">
      <c r="A128" s="278">
        <v>127</v>
      </c>
      <c r="B128" s="279">
        <f>=_xlfn.XLOOKUP(C128,总表!B:B,总表!A:A,无,0)</f>
        <v>329</v>
      </c>
      <c r="C128" s="377" t="s">
        <v>161</v>
      </c>
      <c r="D128" s="281" t="s">
        <f>=_xlfn.XLOOKUP(C128,总表!B:B,总表!J:J,无0)</f>
        <v>12</v>
      </c>
      <c r="E128" s="282">
        <f>=_xlfn.XLOOKUP(C128,总表!B:B,总表!L:L,无,0)</f>
        <v>0</v>
      </c>
      <c r="F128" s="283">
        <f>=_xlfn.XLOOKUP(C128,总表!B:B,总表!M:M,无,0)</f>
        <v>0</v>
      </c>
      <c r="G128" s="284">
        <f>=_xlfn.XLOOKUP(C128,总表!B:B,总表!C:C,无,0)</f>
        <v>46111.5866087962</v>
      </c>
      <c r="H128" s="7" t="s">
        <f>=_xlfn.XLOOKUP(C128,总表!B:B,总表!F:F,无,0)</f>
        <v>228</v>
      </c>
      <c r="I128" s="374" t="s"/>
      <c r="J128" s="209" t="s"/>
      <c r="K128" s="7" t="s"/>
      <c r="L128" s="7" t="s"/>
      <c r="M128" s="287" t="s"/>
      <c r="N128" s="300" t="s"/>
      <c r="O128" s="301" t="s"/>
      <c r="P128" s="300" t="s">
        <f>=IF(K128&lt;&gt;"",IF(ISBLANK(M128),IF(TODAY()-J128&gt;14,"超时","未超时"),IF(M128-J128&gt;14,"超时","未超时")),"")</f>
      </c>
      <c r="Q128" s="7" t="s"/>
      <c r="R128" s="290" t="s"/>
      <c r="S128" s="7" t="s"/>
      <c r="T128" s="7" t="s"/>
      <c r="U128" s="7" t="s"/>
      <c r="V128" s="7" t="s"/>
      <c r="W128" s="7" t="s"/>
      <c r="X128" s="7" t="s"/>
      <c r="Y128" s="290" t="s"/>
    </row>
    <row r="129" spans="1:25">
      <c r="A129" s="278">
        <v>128</v>
      </c>
      <c r="B129" s="279">
        <f>=_xlfn.XLOOKUP(C129,总表!B:B,总表!A:A,无,0)</f>
        <v>330</v>
      </c>
      <c r="C129" s="378" t="s">
        <v>162</v>
      </c>
      <c r="D129" s="281" t="s">
        <f>=_xlfn.XLOOKUP(C129,总表!B:B,总表!J:J,无0)</f>
        <v>15</v>
      </c>
      <c r="E129" s="282">
        <f>=_xlfn.XLOOKUP(C129,总表!B:B,总表!L:L,无,0)</f>
        <v>46112</v>
      </c>
      <c r="F129" s="283" t="s">
        <f>=_xlfn.XLOOKUP(C129,总表!B:B,总表!M:M,无,0)</f>
        <v>705</v>
      </c>
      <c r="G129" s="284">
        <f>=_xlfn.XLOOKUP(C129,总表!B:B,总表!C:C,无,0)</f>
        <v>46111.6128935185</v>
      </c>
      <c r="H129" s="7" t="s">
        <f>=_xlfn.XLOOKUP(C129,总表!B:B,总表!F:F,无,0)</f>
        <v>234</v>
      </c>
      <c r="I129" s="279" t="s">
        <v>1617</v>
      </c>
      <c r="J129" s="209">
        <v>46112</v>
      </c>
      <c r="K129" s="7" t="s">
        <v>565</v>
      </c>
      <c r="L129" s="7" t="s">
        <v>163</v>
      </c>
      <c r="M129" s="287">
        <v>46125</v>
      </c>
      <c r="N129" s="300" t="s">
        <v>611</v>
      </c>
      <c r="O129" s="301" t="s"/>
      <c r="P129" s="300" t="s">
        <f>=IF(K129&lt;&gt;"",IF(ISBLANK(M129),IF(TODAY()-J129&gt;14,"超时","未超时"),IF(M129-J129&gt;14,"超时","未超时")),"")</f>
        <v>1601</v>
      </c>
      <c r="Q129" s="7" t="s"/>
      <c r="R129" s="290" t="s"/>
      <c r="S129" s="7" t="s"/>
      <c r="T129" s="7" t="s"/>
      <c r="U129" s="7" t="s"/>
      <c r="V129" s="7" t="s"/>
      <c r="W129" s="7" t="s"/>
      <c r="X129" s="7" t="s"/>
      <c r="Y129" s="290" t="s"/>
    </row>
    <row r="130" spans="1:25">
      <c r="A130" s="278">
        <v>129</v>
      </c>
      <c r="B130" s="279">
        <f>=_xlfn.XLOOKUP(C130,总表!B:B,总表!A:A,无,0)</f>
        <v>336</v>
      </c>
      <c r="C130" s="379" t="s">
        <v>164</v>
      </c>
      <c r="D130" s="281" t="s">
        <f>=_xlfn.XLOOKUP(C130,总表!B:B,总表!J:J,无0)</f>
        <v>12</v>
      </c>
      <c r="E130" s="282">
        <f>=_xlfn.XLOOKUP(C130,总表!B:B,总表!L:L,无,0)</f>
        <v>46126</v>
      </c>
      <c r="F130" s="283" t="s">
        <f>=_xlfn.XLOOKUP(C130,总表!B:B,总表!M:M,无,0)</f>
        <v>1340</v>
      </c>
      <c r="G130" s="284">
        <f>=_xlfn.XLOOKUP(C130,总表!B:B,总表!C:C,无,0)</f>
        <v>46111.7207291667</v>
      </c>
      <c r="H130" s="7" t="s">
        <f>=_xlfn.XLOOKUP(C130,总表!B:B,总表!F:F,无,0)</f>
        <v>228</v>
      </c>
      <c r="I130" s="374" t="s">
        <v>1649</v>
      </c>
      <c r="J130" s="209">
        <v>46120</v>
      </c>
      <c r="K130" s="7" t="s"/>
      <c r="L130" s="7" t="s"/>
      <c r="M130" s="287" t="s"/>
      <c r="N130" s="300" t="s"/>
      <c r="O130" s="301" t="s"/>
      <c r="P130" s="300" t="s">
        <f>=IF(K130&lt;&gt;"",IF(ISBLANK(M130),IF(TODAY()-J130&gt;14,"超时","未超时"),IF(M130-J130&gt;14,"超时","未超时")),"")</f>
      </c>
      <c r="Q130" s="7" t="s"/>
      <c r="R130" s="290" t="s"/>
      <c r="S130" s="7" t="s"/>
      <c r="T130" s="7" t="s"/>
      <c r="U130" s="7" t="s"/>
      <c r="V130" s="7" t="s"/>
      <c r="W130" s="7" t="s"/>
      <c r="X130" s="7" t="s"/>
      <c r="Y130" s="290" t="s"/>
    </row>
    <row r="131" spans="1:25">
      <c r="A131" s="278">
        <v>130</v>
      </c>
      <c r="B131" s="279">
        <f>=_xlfn.XLOOKUP(C131,总表!B:B,总表!A:A,无,0)</f>
        <v>341</v>
      </c>
      <c r="C131" s="380" t="s">
        <v>165</v>
      </c>
      <c r="D131" s="281" t="s">
        <f>=_xlfn.XLOOKUP(C131,总表!B:B,总表!J:J,无0)</f>
        <v>12</v>
      </c>
      <c r="E131" s="282">
        <f>=_xlfn.XLOOKUP(C131,总表!B:B,总表!L:L,无,0)</f>
        <v>0</v>
      </c>
      <c r="F131" s="283">
        <f>=_xlfn.XLOOKUP(C131,总表!B:B,总表!M:M,无,0)</f>
        <v>0</v>
      </c>
      <c r="G131" s="284">
        <f>=_xlfn.XLOOKUP(C131,总表!B:B,总表!C:C,无,0)</f>
        <v>46111.7503703704</v>
      </c>
      <c r="H131" s="7" t="s">
        <f>=_xlfn.XLOOKUP(C131,总表!B:B,总表!F:F,无,0)</f>
        <v>234</v>
      </c>
      <c r="I131" s="374" t="s"/>
      <c r="J131" s="209" t="s"/>
      <c r="K131" s="7" t="s"/>
      <c r="L131" s="7" t="s"/>
      <c r="M131" s="287" t="s"/>
      <c r="N131" s="300" t="s"/>
      <c r="O131" s="301" t="s"/>
      <c r="P131" s="300" t="s">
        <f>=IF(K131&lt;&gt;"",IF(ISBLANK(M131),IF(TODAY()-J131&gt;14,"超时","未超时"),IF(M131-J131&gt;14,"超时","未超时")),"")</f>
      </c>
      <c r="Q131" s="7" t="s"/>
      <c r="R131" s="290" t="s"/>
      <c r="S131" s="7" t="s"/>
      <c r="T131" s="7" t="s"/>
      <c r="U131" s="7" t="s"/>
      <c r="V131" s="7" t="s"/>
      <c r="W131" s="7" t="s"/>
      <c r="X131" s="7" t="s"/>
      <c r="Y131" s="290" t="s"/>
    </row>
    <row r="132" spans="1:25">
      <c r="A132" s="278">
        <v>131</v>
      </c>
      <c r="B132" s="279">
        <f>=_xlfn.XLOOKUP(C132,总表!B:B,总表!A:A,无,0)</f>
        <v>177</v>
      </c>
      <c r="C132" s="381" t="s">
        <v>166</v>
      </c>
      <c r="D132" s="281" t="s">
        <f>=_xlfn.XLOOKUP(C132,总表!B:B,总表!J:J,无0)</f>
        <v>12</v>
      </c>
      <c r="E132" s="282">
        <f>=_xlfn.XLOOKUP(C132,总表!B:B,总表!L:L,无,0)</f>
        <v>46112</v>
      </c>
      <c r="F132" s="283" t="s">
        <f>=_xlfn.XLOOKUP(C132,总表!B:B,总表!M:M,无,0)</f>
        <v>1039</v>
      </c>
      <c r="G132" s="209">
        <f>=_xlfn.XLOOKUP(C132,总表!B:B,总表!C:C,无,0)</f>
        <v>46112.3816319444</v>
      </c>
      <c r="H132" s="7" t="s">
        <f>=_xlfn.XLOOKUP(C132,总表!B:B,总表!F:F,无,0)</f>
        <v>224</v>
      </c>
      <c r="I132" s="11" t="s">
        <v>1644</v>
      </c>
      <c r="J132" s="209">
        <v>46113</v>
      </c>
      <c r="K132" s="7" t="s">
        <v>565</v>
      </c>
      <c r="L132" s="7" t="s">
        <v>26</v>
      </c>
      <c r="M132" s="287" t="s"/>
      <c r="N132" s="300" t="s">
        <v>1608</v>
      </c>
      <c r="O132" s="301" t="s"/>
      <c r="P132" s="300" t="s">
        <f>=IF(K132&lt;&gt;"",IF(ISBLANK(M132),IF(TODAY()-J132&gt;14,"超时","未超时"),IF(M132-J132&gt;14,"超时","未超时")),"")</f>
        <v>1601</v>
      </c>
      <c r="Q132" s="7" t="s"/>
      <c r="R132" s="290" t="s"/>
      <c r="S132" s="7" t="s"/>
      <c r="T132" s="7" t="s"/>
      <c r="U132" s="7" t="s"/>
      <c r="V132" s="7" t="s"/>
      <c r="W132" s="7" t="s"/>
      <c r="X132" s="7" t="s"/>
      <c r="Y132" s="290" t="s"/>
    </row>
    <row r="133" spans="1:25">
      <c r="A133" s="278">
        <v>132</v>
      </c>
      <c r="B133" s="279">
        <f>=_xlfn.XLOOKUP(C133,总表!B:B,总表!A:A,无,0)</f>
        <v>343</v>
      </c>
      <c r="C133" s="382" t="s">
        <v>167</v>
      </c>
      <c r="D133" s="281" t="s">
        <f>=_xlfn.XLOOKUP(C133,总表!B:B,总表!J:J,无0)</f>
        <v>12</v>
      </c>
      <c r="E133" s="282">
        <f>=_xlfn.XLOOKUP(C133,总表!B:B,总表!L:L,无,0)</f>
        <v>46120</v>
      </c>
      <c r="F133" s="283" t="s">
        <f>=_xlfn.XLOOKUP(C133,总表!B:B,总表!M:M,无,0)</f>
        <v>1151</v>
      </c>
      <c r="G133" s="209">
        <f>=_xlfn.XLOOKUP(C133,总表!B:B,总表!C:C,无,0)</f>
        <v>46112.4471180556</v>
      </c>
      <c r="H133" s="7" t="s">
        <f>=_xlfn.XLOOKUP(C133,总表!B:B,总表!F:F,无,0)</f>
        <v>224</v>
      </c>
      <c r="I133" s="274" t="s">
        <v>1650</v>
      </c>
      <c r="J133" s="209">
        <v>46120</v>
      </c>
      <c r="K133" s="7" t="s">
        <v>565</v>
      </c>
      <c r="L133" s="7" t="s">
        <v>26</v>
      </c>
      <c r="M133" s="287" t="s"/>
      <c r="N133" s="300" t="s">
        <v>1608</v>
      </c>
      <c r="O133" s="301" t="s"/>
      <c r="P133" s="300" t="s">
        <f>=IF(K133&lt;&gt;"",IF(ISBLANK(M133),IF(TODAY()-J133&gt;14,"超时","未超时"),IF(M133-J133&gt;14,"超时","未超时")),"")</f>
        <v>1601</v>
      </c>
      <c r="Q133" s="7" t="s"/>
      <c r="R133" s="290" t="s"/>
      <c r="S133" s="7" t="s"/>
      <c r="T133" s="7" t="s"/>
      <c r="U133" s="7" t="s"/>
      <c r="V133" s="7" t="s"/>
      <c r="W133" s="7" t="s"/>
      <c r="X133" s="7" t="s"/>
      <c r="Y133" s="290" t="s"/>
    </row>
    <row r="134" spans="1:25">
      <c r="A134" s="278">
        <v>133</v>
      </c>
      <c r="B134" s="279">
        <f>=_xlfn.XLOOKUP(C134,总表!B:B,总表!A:A,无,0)</f>
        <v>344</v>
      </c>
      <c r="C134" s="383" t="s">
        <v>168</v>
      </c>
      <c r="D134" s="281" t="s">
        <f>=_xlfn.XLOOKUP(C134,总表!B:B,总表!J:J,无0)</f>
        <v>12</v>
      </c>
      <c r="E134" s="282">
        <f>=_xlfn.XLOOKUP(C134,总表!B:B,总表!L:L,无,0)</f>
        <v>46113</v>
      </c>
      <c r="F134" s="283" t="s">
        <f>=_xlfn.XLOOKUP(C134,总表!B:B,总表!M:M,无,0)</f>
        <v>953</v>
      </c>
      <c r="G134" s="209">
        <f>=_xlfn.XLOOKUP(C134,总表!B:B,总表!C:C,无,0)</f>
        <v>46112.4216898148</v>
      </c>
      <c r="H134" s="7" t="s">
        <f>=_xlfn.XLOOKUP(C134,总表!B:B,总表!F:F,无,0)</f>
        <v>228</v>
      </c>
      <c r="I134" s="11" t="s">
        <v>1644</v>
      </c>
      <c r="J134" s="209">
        <v>46113</v>
      </c>
      <c r="K134" s="7" t="s">
        <v>565</v>
      </c>
      <c r="L134" s="7" t="s">
        <v>18</v>
      </c>
      <c r="M134" s="287" t="s"/>
      <c r="N134" s="300" t="s">
        <v>1608</v>
      </c>
      <c r="O134" s="301" t="s"/>
      <c r="P134" s="300" t="s">
        <f>=IF(K134&lt;&gt;"",IF(ISBLANK(M134),IF(TODAY()-J134&gt;14,"超时","未超时"),IF(M134-J134&gt;14,"超时","未超时")),"")</f>
        <v>1601</v>
      </c>
      <c r="Q134" s="7" t="s"/>
      <c r="R134" s="290" t="s"/>
      <c r="S134" s="7" t="s"/>
      <c r="T134" s="7" t="s"/>
      <c r="U134" s="7" t="s"/>
      <c r="V134" s="7" t="s"/>
      <c r="W134" s="7" t="s"/>
      <c r="X134" s="7" t="s"/>
      <c r="Y134" s="290" t="s"/>
    </row>
    <row r="135" spans="1:25">
      <c r="A135" s="278">
        <v>134</v>
      </c>
      <c r="B135" s="279">
        <f>=_xlfn.XLOOKUP(C135,总表!B:B,总表!A:A,无,0)</f>
        <v>345</v>
      </c>
      <c r="C135" s="383" t="s">
        <v>169</v>
      </c>
      <c r="D135" s="281" t="s">
        <f>=_xlfn.XLOOKUP(C135,总表!B:B,总表!J:J,无0)</f>
        <v>12</v>
      </c>
      <c r="E135" s="282">
        <f>=_xlfn.XLOOKUP(C135,总表!B:B,总表!L:L,无,0)</f>
        <v>46112</v>
      </c>
      <c r="F135" s="283" t="s">
        <f>=_xlfn.XLOOKUP(C135,总表!B:B,总表!M:M,无,0)</f>
        <v>1357</v>
      </c>
      <c r="G135" s="209">
        <f>=_xlfn.XLOOKUP(C135,总表!B:B,总表!C:C,无,0)</f>
        <v>46112.4152546296</v>
      </c>
      <c r="H135" s="7" t="s">
        <f>=_xlfn.XLOOKUP(C135,总表!B:B,总表!F:F,无,0)</f>
        <v>215</v>
      </c>
      <c r="I135" s="11" t="s">
        <v>1651</v>
      </c>
      <c r="J135" s="209">
        <v>46113</v>
      </c>
      <c r="K135" s="7" t="s">
        <v>565</v>
      </c>
      <c r="L135" s="7" t="s">
        <v>18</v>
      </c>
      <c r="M135" s="287" t="s"/>
      <c r="N135" s="300" t="s">
        <v>1608</v>
      </c>
      <c r="O135" s="301" t="s"/>
      <c r="P135" s="300" t="s">
        <f>=IF(K135&lt;&gt;"",IF(ISBLANK(M135),IF(TODAY()-J135&gt;14,"超时","未超时"),IF(M135-J135&gt;14,"超时","未超时")),"")</f>
        <v>1601</v>
      </c>
      <c r="Q135" s="7" t="s"/>
      <c r="R135" s="290" t="s"/>
      <c r="S135" s="7" t="s"/>
      <c r="T135" s="7" t="s"/>
      <c r="U135" s="7" t="s"/>
      <c r="V135" s="7" t="s"/>
      <c r="W135" s="7" t="s"/>
      <c r="X135" s="7" t="s"/>
      <c r="Y135" s="290" t="s"/>
    </row>
    <row r="136" spans="1:25">
      <c r="A136" s="278">
        <v>135</v>
      </c>
      <c r="B136" s="279">
        <f>=_xlfn.XLOOKUP(C136,总表!B:B,总表!A:A,无,0)</f>
        <v>349</v>
      </c>
      <c r="C136" s="383" t="s">
        <v>170</v>
      </c>
      <c r="D136" s="281" t="s">
        <f>=_xlfn.XLOOKUP(C136,总表!B:B,总表!J:J,无0)</f>
        <v>12</v>
      </c>
      <c r="E136" s="282">
        <f>=_xlfn.XLOOKUP(C136,总表!B:B,总表!L:L,无,0)</f>
        <v>46114</v>
      </c>
      <c r="F136" s="283" t="s">
        <f>=_xlfn.XLOOKUP(C136,总表!B:B,总表!M:M,无,0)</f>
        <v>1365</v>
      </c>
      <c r="G136" s="209">
        <f>=_xlfn.XLOOKUP(C136,总表!B:B,总表!C:C,无,0)</f>
        <v>46112.4393981482</v>
      </c>
      <c r="H136" s="7" t="s">
        <f>=_xlfn.XLOOKUP(C136,总表!B:B,总表!F:F,无,0)</f>
        <v>234</v>
      </c>
      <c r="I136" s="11" t="s">
        <v>1652</v>
      </c>
      <c r="J136" s="209">
        <v>46114</v>
      </c>
      <c r="K136" s="7" t="s">
        <v>565</v>
      </c>
      <c r="L136" s="7" t="s">
        <v>18</v>
      </c>
      <c r="M136" s="287" t="s"/>
      <c r="N136" s="300" t="s">
        <v>1608</v>
      </c>
      <c r="O136" s="301" t="s"/>
      <c r="P136" s="300" t="s">
        <f>=IF(K136&lt;&gt;"",IF(ISBLANK(M136),IF(TODAY()-J136&gt;14,"超时","未超时"),IF(M136-J136&gt;14,"超时","未超时")),"")</f>
        <v>1601</v>
      </c>
      <c r="Q136" s="7" t="s"/>
      <c r="R136" s="290" t="s"/>
      <c r="S136" s="7" t="s"/>
      <c r="T136" s="7" t="s"/>
      <c r="U136" s="7" t="s"/>
      <c r="V136" s="7" t="s"/>
      <c r="W136" s="7" t="s"/>
      <c r="X136" s="7" t="s"/>
      <c r="Y136" s="290" t="s"/>
    </row>
    <row r="137" spans="1:25">
      <c r="A137" s="278">
        <v>136</v>
      </c>
      <c r="B137" s="279">
        <f>=_xlfn.XLOOKUP(C137,总表!B:B,总表!A:A,无,0)</f>
        <v>355</v>
      </c>
      <c r="C137" s="384" t="s">
        <v>171</v>
      </c>
      <c r="D137" s="281" t="s">
        <f>=_xlfn.XLOOKUP(C137,总表!B:B,总表!J:J,无0)</f>
        <v>15</v>
      </c>
      <c r="E137" s="282">
        <f>=_xlfn.XLOOKUP(C137,总表!B:B,总表!L:L,无,0)</f>
        <v>46113</v>
      </c>
      <c r="F137" s="283" t="s">
        <f>=_xlfn.XLOOKUP(C137,总表!B:B,总表!M:M,无,0)</f>
        <v>1365</v>
      </c>
      <c r="G137" s="209">
        <f>=_xlfn.XLOOKUP(C137,总表!B:B,总表!C:C,无,0)</f>
        <v>46112.6632523148</v>
      </c>
      <c r="H137" s="7" t="s">
        <f>=_xlfn.XLOOKUP(C137,总表!B:B,总表!F:F,无,0)</f>
        <v>228</v>
      </c>
      <c r="I137" s="11" t="s">
        <v>1653</v>
      </c>
      <c r="J137" s="209">
        <v>46113</v>
      </c>
      <c r="K137" s="7" t="s">
        <v>565</v>
      </c>
      <c r="L137" s="7" t="s">
        <v>172</v>
      </c>
      <c r="M137" s="287" t="s"/>
      <c r="N137" s="300" t="s">
        <v>1645</v>
      </c>
      <c r="O137" s="301" t="s"/>
      <c r="P137" s="300" t="s">
        <f>=IF(K137&lt;&gt;"",IF(ISBLANK(M137),IF(TODAY()-J137&gt;14,"超时","未超时"),IF(M137-J137&gt;14,"超时","未超时")),"")</f>
        <v>1601</v>
      </c>
      <c r="Q137" s="7" t="s"/>
      <c r="R137" s="290" t="s"/>
      <c r="S137" s="7" t="s"/>
      <c r="T137" s="7" t="s"/>
      <c r="U137" s="7" t="s"/>
      <c r="V137" s="7" t="s"/>
      <c r="W137" s="7" t="s"/>
      <c r="X137" s="7" t="s"/>
      <c r="Y137" s="290" t="s"/>
    </row>
    <row r="138" spans="1:25">
      <c r="A138" s="278">
        <v>137</v>
      </c>
      <c r="B138" s="279">
        <f>=_xlfn.XLOOKUP(C138,总表!B:B,总表!A:A,无,0)</f>
        <v>356</v>
      </c>
      <c r="C138" s="379" t="s">
        <v>173</v>
      </c>
      <c r="D138" s="281" t="s">
        <f>=_xlfn.XLOOKUP(C138,总表!B:B,总表!J:J,无0)</f>
        <v>15</v>
      </c>
      <c r="E138" s="282">
        <f>=_xlfn.XLOOKUP(C138,总表!B:B,总表!L:L,无,0)</f>
        <v>46126</v>
      </c>
      <c r="F138" s="283" t="s">
        <f>=_xlfn.XLOOKUP(C138,总表!B:B,总表!M:M,无,0)</f>
        <v>1376</v>
      </c>
      <c r="G138" s="209">
        <f>=_xlfn.XLOOKUP(C138,总表!B:B,总表!C:C,无,0)</f>
        <v>46112.5891782408</v>
      </c>
      <c r="H138" s="7" t="s">
        <f>=_xlfn.XLOOKUP(C138,总表!B:B,总表!F:F,无,0)</f>
        <v>236</v>
      </c>
      <c r="I138" s="11" t="s"/>
      <c r="J138" s="209">
        <v>46126</v>
      </c>
      <c r="K138" s="7" t="s">
        <v>1654</v>
      </c>
      <c r="L138" s="7" t="s">
        <v>174</v>
      </c>
      <c r="M138" s="287" t="s"/>
      <c r="N138" s="300" t="s">
        <v>1608</v>
      </c>
      <c r="O138" s="301" t="s"/>
      <c r="P138" s="300" t="s">
        <f>=IF(K138&lt;&gt;"",IF(ISBLANK(M138),IF(TODAY()-J138&gt;14,"超时","未超时"),IF(M138-J138&gt;14,"超时","未超时")),"")</f>
        <v>1601</v>
      </c>
      <c r="Q138" s="7" t="s"/>
      <c r="R138" s="290" t="s"/>
      <c r="S138" s="7" t="s"/>
      <c r="T138" s="7" t="s"/>
      <c r="U138" s="7" t="s"/>
      <c r="V138" s="7" t="s"/>
      <c r="W138" s="7" t="s"/>
      <c r="X138" s="7" t="s"/>
      <c r="Y138" s="290" t="s"/>
    </row>
    <row r="139" spans="1:25">
      <c r="A139" s="278">
        <v>138</v>
      </c>
      <c r="B139" s="279">
        <f>=_xlfn.XLOOKUP(C139,总表!B:B,总表!A:A,无,0)</f>
        <v>358</v>
      </c>
      <c r="C139" s="379" t="s">
        <v>175</v>
      </c>
      <c r="D139" s="281" t="s">
        <f>=_xlfn.XLOOKUP(C139,总表!B:B,总表!J:J,无0)</f>
        <v>12</v>
      </c>
      <c r="E139" s="282">
        <f>=_xlfn.XLOOKUP(C139,总表!B:B,总表!L:L,无,0)</f>
        <v>46119</v>
      </c>
      <c r="F139" s="283" t="s">
        <f>=_xlfn.XLOOKUP(C139,总表!B:B,总表!M:M,无,0)</f>
        <v>1380</v>
      </c>
      <c r="G139" s="209">
        <f>=_xlfn.XLOOKUP(C139,总表!B:B,总表!C:C,无,0)</f>
        <v>46112.6642708333</v>
      </c>
      <c r="H139" s="7" t="s">
        <f>=_xlfn.XLOOKUP(C139,总表!B:B,总表!F:F,无,0)</f>
        <v>234</v>
      </c>
      <c r="I139" s="11" t="s"/>
      <c r="J139" s="209">
        <v>46122</v>
      </c>
      <c r="K139" s="7" t="s">
        <v>565</v>
      </c>
      <c r="L139" s="7" t="s">
        <v>35</v>
      </c>
      <c r="M139" s="287" t="s"/>
      <c r="N139" s="300" t="s"/>
      <c r="O139" s="301" t="s"/>
      <c r="P139" s="300" t="s">
        <f>=IF(K139&lt;&gt;"",IF(ISBLANK(M139),IF(TODAY()-J139&gt;14,"超时","未超时"),IF(M139-J139&gt;14,"超时","未超时")),"")</f>
        <v>1601</v>
      </c>
      <c r="Q139" s="7" t="s"/>
      <c r="R139" s="290" t="s"/>
      <c r="S139" s="7" t="s"/>
      <c r="T139" s="7" t="s"/>
      <c r="U139" s="7" t="s"/>
      <c r="V139" s="7" t="s"/>
      <c r="W139" s="7" t="s"/>
      <c r="X139" s="7" t="s"/>
      <c r="Y139" s="290" t="s"/>
    </row>
    <row r="140" spans="1:25">
      <c r="A140" s="278">
        <v>139</v>
      </c>
      <c r="B140" s="279">
        <f>=_xlfn.XLOOKUP(C140,总表!B:B,总表!A:A,无,0)</f>
        <v>362</v>
      </c>
      <c r="C140" s="385" t="s">
        <v>176</v>
      </c>
      <c r="D140" s="281" t="s">
        <f>=_xlfn.XLOOKUP(C140,总表!B:B,总表!J:J,无0)</f>
        <v>12</v>
      </c>
      <c r="E140" s="282">
        <f>=_xlfn.XLOOKUP(C140,总表!B:B,总表!L:L,无,0)</f>
        <v>46115</v>
      </c>
      <c r="F140" s="283" t="s">
        <f>=_xlfn.XLOOKUP(C140,总表!B:B,总表!M:M,无,0)</f>
        <v>1214</v>
      </c>
      <c r="G140" s="209">
        <f>=_xlfn.XLOOKUP(C140,总表!B:B,总表!C:C,无,0)</f>
        <v>46112.9019675926</v>
      </c>
      <c r="H140" s="7" t="s">
        <f>=_xlfn.XLOOKUP(C140,总表!B:B,总表!F:F,无,0)</f>
        <v>277</v>
      </c>
      <c r="I140" s="11" t="s"/>
      <c r="J140" s="209">
        <v>46119</v>
      </c>
      <c r="K140" s="7" t="s">
        <v>565</v>
      </c>
      <c r="L140" s="7" t="s">
        <v>18</v>
      </c>
      <c r="M140" s="287" t="s"/>
      <c r="N140" s="300" t="s">
        <v>1608</v>
      </c>
      <c r="O140" s="301" t="s"/>
      <c r="P140" s="300" t="s">
        <f>=IF(K140&lt;&gt;"",IF(ISBLANK(M140),IF(TODAY()-J140&gt;14,"超时","未超时"),IF(M140-J140&gt;14,"超时","未超时")),"")</f>
        <v>1601</v>
      </c>
      <c r="Q140" s="7" t="s"/>
      <c r="R140" s="290" t="s"/>
      <c r="S140" s="7" t="s"/>
      <c r="T140" s="7" t="s"/>
      <c r="U140" s="7" t="s"/>
      <c r="V140" s="7" t="s"/>
      <c r="W140" s="7" t="s"/>
      <c r="X140" s="7" t="s"/>
      <c r="Y140" s="290" t="s"/>
    </row>
    <row r="141" spans="1:25">
      <c r="A141" s="278">
        <v>140</v>
      </c>
      <c r="B141" s="279">
        <f>=_xlfn.XLOOKUP(C141,总表!B:B,总表!A:A,无,0)</f>
        <v>364</v>
      </c>
      <c r="C141" s="386" t="s">
        <v>177</v>
      </c>
      <c r="D141" s="281" t="s">
        <f>=_xlfn.XLOOKUP(C141,总表!B:B,总表!J:J,无0)</f>
        <v>12</v>
      </c>
      <c r="E141" s="282">
        <f>=_xlfn.XLOOKUP(C141,总表!B:B,总表!L:L,无,0)</f>
        <v>46113</v>
      </c>
      <c r="F141" s="283" t="s">
        <f>=_xlfn.XLOOKUP(C141,总表!B:B,总表!M:M,无,0)</f>
        <v>1393</v>
      </c>
      <c r="G141" s="209">
        <f>=_xlfn.XLOOKUP(C141,总表!B:B,总表!C:C,无,0)</f>
        <v>46112.8741087962</v>
      </c>
      <c r="H141" s="7" t="s">
        <f>=_xlfn.XLOOKUP(C141,总表!B:B,总表!F:F,无,0)</f>
        <v>224</v>
      </c>
      <c r="I141" s="11" t="s">
        <v>1642</v>
      </c>
      <c r="J141" s="209">
        <v>46114</v>
      </c>
      <c r="K141" s="7" t="s">
        <v>565</v>
      </c>
      <c r="L141" s="7" t="s">
        <v>26</v>
      </c>
      <c r="M141" s="287" t="s"/>
      <c r="N141" s="300" t="s">
        <v>1608</v>
      </c>
      <c r="O141" s="301" t="s"/>
      <c r="P141" s="300" t="s">
        <f>=IF(K141&lt;&gt;"",IF(ISBLANK(M141),IF(TODAY()-J141&gt;14,"超时","未超时"),IF(M141-J141&gt;14,"超时","未超时")),"")</f>
        <v>1601</v>
      </c>
      <c r="Q141" s="7" t="s"/>
      <c r="R141" s="290" t="s"/>
      <c r="S141" s="7" t="s"/>
      <c r="T141" s="7" t="s"/>
      <c r="U141" s="7" t="s"/>
      <c r="V141" s="7" t="s"/>
      <c r="W141" s="7" t="s"/>
      <c r="X141" s="7" t="s"/>
      <c r="Y141" s="290" t="s"/>
    </row>
    <row r="142" spans="1:25">
      <c r="A142" s="278">
        <v>141</v>
      </c>
      <c r="B142" s="279">
        <f>=_xlfn.XLOOKUP(C142,总表!B:B,总表!A:A,无,0)</f>
        <v>365</v>
      </c>
      <c r="C142" s="387" t="s">
        <v>178</v>
      </c>
      <c r="D142" s="281" t="s">
        <f>=_xlfn.XLOOKUP(C142,总表!B:B,总表!J:J,无0)</f>
        <v>12</v>
      </c>
      <c r="E142" s="282">
        <f>=_xlfn.XLOOKUP(C142,总表!B:B,总表!L:L,无,0)</f>
        <v>46120</v>
      </c>
      <c r="F142" s="283" t="s">
        <f>=_xlfn.XLOOKUP(C142,总表!B:B,总表!M:M,无,0)</f>
        <v>1097</v>
      </c>
      <c r="G142" s="209">
        <f>=_xlfn.XLOOKUP(C142,总表!B:B,总表!C:C,无,0)</f>
        <v>46112.8571180556</v>
      </c>
      <c r="H142" s="7" t="s">
        <f>=_xlfn.XLOOKUP(C142,总表!B:B,总表!F:F,无,0)</f>
        <v>224</v>
      </c>
      <c r="I142" s="11" t="s"/>
      <c r="J142" s="209">
        <v>46120</v>
      </c>
      <c r="K142" s="7" t="s">
        <v>565</v>
      </c>
      <c r="L142" s="7" t="s">
        <v>18</v>
      </c>
      <c r="M142" s="287" t="s"/>
      <c r="N142" s="300" t="s">
        <v>1608</v>
      </c>
      <c r="O142" s="301" t="s"/>
      <c r="P142" s="300" t="s">
        <f>=IF(K142&lt;&gt;"",IF(ISBLANK(M142),IF(TODAY()-J142&gt;14,"超时","未超时"),IF(M142-J142&gt;14,"超时","未超时")),"")</f>
        <v>1601</v>
      </c>
      <c r="Q142" s="7" t="s"/>
      <c r="R142" s="290" t="s"/>
      <c r="S142" s="7" t="s"/>
      <c r="T142" s="7" t="s"/>
      <c r="U142" s="7" t="s"/>
      <c r="V142" s="7" t="s"/>
      <c r="W142" s="7" t="s"/>
      <c r="X142" s="7" t="s"/>
      <c r="Y142" s="290" t="s"/>
    </row>
    <row r="143" spans="1:25">
      <c r="A143" s="278">
        <v>142</v>
      </c>
      <c r="B143" s="279">
        <f>=_xlfn.XLOOKUP(C143,总表!B:B,总表!A:A,无,0)</f>
        <v>366</v>
      </c>
      <c r="C143" s="386" t="s">
        <v>179</v>
      </c>
      <c r="D143" s="281" t="s">
        <f>=_xlfn.XLOOKUP(C143,总表!B:B,总表!J:J,无0)</f>
        <v>15</v>
      </c>
      <c r="E143" s="282">
        <f>=_xlfn.XLOOKUP(C143,总表!B:B,总表!L:L,无,0)</f>
        <v>46113</v>
      </c>
      <c r="F143" s="283" t="s">
        <f>=_xlfn.XLOOKUP(C143,总表!B:B,总表!M:M,无,0)</f>
        <v>1396</v>
      </c>
      <c r="G143" s="209">
        <f>=_xlfn.XLOOKUP(C143,总表!B:B,总表!C:C,无,0)</f>
        <v>46112.8199884259</v>
      </c>
      <c r="H143" s="7" t="s">
        <f>=_xlfn.XLOOKUP(C143,总表!B:B,总表!F:F,无,0)</f>
        <v>277</v>
      </c>
      <c r="I143" s="11" t="s">
        <v>1644</v>
      </c>
      <c r="J143" s="209">
        <v>46113</v>
      </c>
      <c r="K143" s="7" t="s">
        <v>565</v>
      </c>
      <c r="L143" s="7" t="s">
        <v>180</v>
      </c>
      <c r="M143" s="287" t="s"/>
      <c r="N143" s="300" t="s">
        <v>611</v>
      </c>
      <c r="O143" s="301" t="s"/>
      <c r="P143" s="300" t="s">
        <f>=IF(K143&lt;&gt;"",IF(ISBLANK(M143),IF(TODAY()-J143&gt;14,"超时","未超时"),IF(M143-J143&gt;14,"超时","未超时")),"")</f>
        <v>1601</v>
      </c>
      <c r="Q143" s="7" t="s"/>
      <c r="R143" s="290" t="s"/>
      <c r="S143" s="7" t="s"/>
      <c r="T143" s="7" t="s"/>
      <c r="U143" s="7" t="s"/>
      <c r="V143" s="7" t="s"/>
      <c r="W143" s="7" t="s"/>
      <c r="X143" s="7" t="s"/>
      <c r="Y143" s="290" t="s"/>
    </row>
    <row r="144" spans="1:25">
      <c r="A144" s="278">
        <v>143</v>
      </c>
      <c r="B144" s="279">
        <f>=_xlfn.XLOOKUP(C144,总表!B:B,总表!A:A,无,0)</f>
        <v>369</v>
      </c>
      <c r="C144" s="387" t="s">
        <v>181</v>
      </c>
      <c r="D144" s="281" t="s">
        <f>=_xlfn.XLOOKUP(C144,总表!B:B,总表!J:J,无0)</f>
        <v>12</v>
      </c>
      <c r="E144" s="282">
        <f>=_xlfn.XLOOKUP(C144,总表!B:B,总表!L:L,无,0)</f>
        <v>46114</v>
      </c>
      <c r="F144" s="283" t="s">
        <f>=_xlfn.XLOOKUP(C144,总表!B:B,总表!M:M,无,0)</f>
        <v>1403</v>
      </c>
      <c r="G144" s="209">
        <f>=_xlfn.XLOOKUP(C144,总表!B:B,总表!C:C,无,0)</f>
        <v>46112.8089930556</v>
      </c>
      <c r="H144" s="7" t="s">
        <f>=_xlfn.XLOOKUP(C144,总表!B:B,总表!F:F,无,0)</f>
        <v>236</v>
      </c>
      <c r="I144" s="11" t="s"/>
      <c r="J144" s="209">
        <v>46120</v>
      </c>
      <c r="K144" s="7" t="s">
        <v>565</v>
      </c>
      <c r="L144" s="7" t="s">
        <v>26</v>
      </c>
      <c r="M144" s="287" t="s"/>
      <c r="N144" s="300" t="s">
        <v>1608</v>
      </c>
      <c r="O144" s="301" t="s"/>
      <c r="P144" s="300" t="s">
        <f>=IF(K144&lt;&gt;"",IF(ISBLANK(M144),IF(TODAY()-J144&gt;14,"超时","未超时"),IF(M144-J144&gt;14,"超时","未超时")),"")</f>
        <v>1601</v>
      </c>
      <c r="Q144" s="7" t="s"/>
      <c r="R144" s="290" t="s"/>
      <c r="S144" s="7" t="s"/>
      <c r="T144" s="7" t="s"/>
      <c r="U144" s="7" t="s"/>
      <c r="V144" s="7" t="s"/>
      <c r="W144" s="7" t="s"/>
      <c r="X144" s="7" t="s"/>
      <c r="Y144" s="290" t="s"/>
    </row>
    <row r="145" spans="1:25">
      <c r="A145" s="278">
        <v>144</v>
      </c>
      <c r="B145" s="279">
        <f>=_xlfn.XLOOKUP(C145,总表!B:B,总表!A:A,无,0)</f>
        <v>370</v>
      </c>
      <c r="C145" s="388" t="s">
        <v>182</v>
      </c>
      <c r="D145" s="281" t="s">
        <f>=_xlfn.XLOOKUP(C145,总表!B:B,总表!J:J,无0)</f>
        <v>12</v>
      </c>
      <c r="E145" s="363">
        <f>=_xlfn.XLOOKUP(C145,总表!B:B,总表!L:L,无,0)</f>
        <v>46125</v>
      </c>
      <c r="F145" s="283" t="s">
        <f>=_xlfn.XLOOKUP(C145,总表!B:B,总表!M:M,无,0)</f>
        <v>610</v>
      </c>
      <c r="G145" s="209">
        <f>=_xlfn.XLOOKUP(C145,总表!B:B,总表!C:C,无,0)</f>
        <v>46112.7850347222</v>
      </c>
      <c r="H145" s="7" t="s">
        <f>=_xlfn.XLOOKUP(C145,总表!B:B,总表!F:F,无,0)</f>
        <v>236</v>
      </c>
      <c r="I145" s="274" t="s">
        <v>1655</v>
      </c>
      <c r="J145" s="209">
        <v>46125</v>
      </c>
      <c r="K145" s="7" t="s">
        <v>565</v>
      </c>
      <c r="L145" s="7" t="s">
        <v>26</v>
      </c>
      <c r="M145" s="287" t="s"/>
      <c r="N145" s="300" t="s">
        <v>1608</v>
      </c>
      <c r="O145" s="301" t="s"/>
      <c r="P145" s="300" t="s">
        <f>=IF(K145&lt;&gt;"",IF(ISBLANK(M145),IF(TODAY()-J145&gt;14,"超时","未超时"),IF(M145-J145&gt;14,"超时","未超时")),"")</f>
        <v>1601</v>
      </c>
      <c r="Q145" s="7" t="s"/>
      <c r="R145" s="290" t="s"/>
      <c r="S145" s="7" t="s"/>
      <c r="T145" s="7" t="s"/>
      <c r="U145" s="7" t="s"/>
      <c r="V145" s="7" t="s"/>
      <c r="W145" s="7" t="s"/>
      <c r="X145" s="7" t="s"/>
      <c r="Y145" s="290" t="s"/>
    </row>
    <row r="146" spans="1:25">
      <c r="A146" s="278">
        <v>145</v>
      </c>
      <c r="B146" s="279">
        <f>=_xlfn.XLOOKUP(C146,总表!B:B,总表!A:A,无,0)</f>
        <v>371</v>
      </c>
      <c r="C146" s="387" t="s">
        <v>183</v>
      </c>
      <c r="D146" s="281" t="s">
        <f>=_xlfn.XLOOKUP(C146,总表!B:B,总表!J:J,无0)</f>
        <v>12</v>
      </c>
      <c r="E146" s="282">
        <f>=_xlfn.XLOOKUP(C146,总表!B:B,总表!L:L,无,0)</f>
        <v>46115</v>
      </c>
      <c r="F146" s="283" t="s">
        <f>=_xlfn.XLOOKUP(C146,总表!B:B,总表!M:M,无,0)</f>
        <v>1266</v>
      </c>
      <c r="G146" s="209">
        <f>=_xlfn.XLOOKUP(C146,总表!B:B,总表!C:C,无,0)</f>
        <v>46112.7990972222</v>
      </c>
      <c r="H146" s="7" t="s">
        <f>=_xlfn.XLOOKUP(C146,总表!B:B,总表!F:F,无,0)</f>
        <v>228</v>
      </c>
      <c r="I146" s="11" t="s"/>
      <c r="J146" s="209">
        <v>46119</v>
      </c>
      <c r="K146" s="7" t="s">
        <v>565</v>
      </c>
      <c r="L146" s="7" t="s">
        <v>26</v>
      </c>
      <c r="M146" s="287">
        <v>46125</v>
      </c>
      <c r="N146" s="300" t="s">
        <v>611</v>
      </c>
      <c r="O146" s="301" t="s"/>
      <c r="P146" s="300" t="s">
        <f>=IF(K146&lt;&gt;"",IF(ISBLANK(M146),IF(TODAY()-J146&gt;14,"超时","未超时"),IF(M146-J146&gt;14,"超时","未超时")),"")</f>
        <v>1601</v>
      </c>
      <c r="Q146" s="7" t="s"/>
      <c r="R146" s="290" t="s"/>
      <c r="S146" s="7" t="s"/>
      <c r="T146" s="7" t="s"/>
      <c r="U146" s="7" t="s"/>
      <c r="V146" s="7" t="s"/>
      <c r="W146" s="7" t="s"/>
      <c r="X146" s="7" t="s"/>
      <c r="Y146" s="290" t="s"/>
    </row>
    <row r="147" spans="1:25">
      <c r="A147" s="278">
        <v>146</v>
      </c>
      <c r="B147" s="279">
        <f>=_xlfn.XLOOKUP(C147,总表!B:B,总表!A:A,无,0)</f>
        <v>374</v>
      </c>
      <c r="C147" s="387" t="s">
        <v>184</v>
      </c>
      <c r="D147" s="281" t="s">
        <f>=_xlfn.XLOOKUP(C147,总表!B:B,总表!J:J,无0)</f>
        <v>15</v>
      </c>
      <c r="E147" s="282">
        <f>=_xlfn.XLOOKUP(C147,总表!B:B,总表!L:L,无,0)</f>
        <v>46116</v>
      </c>
      <c r="F147" s="283" t="s">
        <f>=_xlfn.XLOOKUP(C147,总表!B:B,总表!M:M,无,0)</f>
        <v>1412</v>
      </c>
      <c r="G147" s="209">
        <f>=_xlfn.XLOOKUP(C147,总表!B:B,总表!C:C,无,0)</f>
        <v>46112.8207523148</v>
      </c>
      <c r="H147" s="7" t="s">
        <f>=_xlfn.XLOOKUP(C147,总表!B:B,总表!F:F,无,0)</f>
        <v>228</v>
      </c>
      <c r="I147" s="11" t="s"/>
      <c r="J147" s="209">
        <v>46119</v>
      </c>
      <c r="K147" s="7" t="s">
        <v>565</v>
      </c>
      <c r="L147" s="7" t="s">
        <v>185</v>
      </c>
      <c r="M147" s="287" t="s"/>
      <c r="N147" s="300" t="s">
        <v>1608</v>
      </c>
      <c r="O147" s="301" t="s"/>
      <c r="P147" s="300" t="s">
        <f>=IF(K147&lt;&gt;"",IF(ISBLANK(M147),IF(TODAY()-J147&gt;14,"超时","未超时"),IF(M147-J147&gt;14,"超时","未超时")),"")</f>
        <v>1601</v>
      </c>
      <c r="Q147" s="7" t="s"/>
      <c r="R147" s="290" t="s"/>
      <c r="S147" s="7" t="s"/>
      <c r="T147" s="7" t="s"/>
      <c r="U147" s="7" t="s"/>
      <c r="V147" s="7" t="s"/>
      <c r="W147" s="7" t="s"/>
      <c r="X147" s="7" t="s"/>
      <c r="Y147" s="290" t="s"/>
    </row>
    <row r="148" spans="1:25">
      <c r="A148" s="278">
        <v>147</v>
      </c>
      <c r="B148" s="279">
        <f>=_xlfn.XLOOKUP(C148,总表!B:B,总表!A:A,无,0)</f>
        <v>375</v>
      </c>
      <c r="C148" s="387" t="s">
        <v>186</v>
      </c>
      <c r="D148" s="281" t="s">
        <f>=_xlfn.XLOOKUP(C148,总表!B:B,总表!J:J,无0)</f>
        <v>12</v>
      </c>
      <c r="E148" s="282">
        <f>=_xlfn.XLOOKUP(C148,总表!B:B,总表!L:L,无,0)</f>
        <v>46125</v>
      </c>
      <c r="F148" s="283" t="s">
        <f>=_xlfn.XLOOKUP(C148,总表!B:B,总表!M:M,无,0)</f>
        <v>610</v>
      </c>
      <c r="G148" s="209">
        <f>=_xlfn.XLOOKUP(C148,总表!B:B,总表!C:C,无,0)</f>
        <v>46112.7324074074</v>
      </c>
      <c r="H148" s="7" t="s">
        <f>=_xlfn.XLOOKUP(C148,总表!B:B,总表!F:F,无,0)</f>
        <v>228</v>
      </c>
      <c r="I148" s="11" t="s">
        <v>1656</v>
      </c>
      <c r="J148" s="209">
        <v>46126</v>
      </c>
      <c r="K148" s="7" t="s">
        <v>565</v>
      </c>
      <c r="L148" s="7" t="s">
        <v>18</v>
      </c>
      <c r="M148" s="287" t="s"/>
      <c r="N148" s="300" t="s">
        <v>1608</v>
      </c>
      <c r="O148" s="301" t="s"/>
      <c r="P148" s="300" t="s">
        <f>=IF(K148&lt;&gt;"",IF(ISBLANK(M148),IF(TODAY()-J148&gt;14,"超时","未超时"),IF(M148-J148&gt;14,"超时","未超时")),"")</f>
        <v>1601</v>
      </c>
      <c r="Q148" s="7" t="s"/>
      <c r="R148" s="290" t="s"/>
      <c r="S148" s="7" t="s"/>
      <c r="T148" s="7" t="s"/>
      <c r="U148" s="7" t="s"/>
      <c r="V148" s="7" t="s"/>
      <c r="W148" s="7" t="s"/>
      <c r="X148" s="7" t="s"/>
      <c r="Y148" s="290" t="s"/>
    </row>
    <row r="149" spans="1:25">
      <c r="A149" s="278">
        <v>148</v>
      </c>
      <c r="B149" s="279">
        <f>=_xlfn.XLOOKUP(C149,总表!B:B,总表!A:A,无,0)</f>
        <v>376</v>
      </c>
      <c r="C149" s="387" t="s">
        <v>187</v>
      </c>
      <c r="D149" s="281" t="s">
        <f>=_xlfn.XLOOKUP(C149,总表!B:B,总表!J:J,无0)</f>
        <v>12</v>
      </c>
      <c r="E149" s="282">
        <f>=_xlfn.XLOOKUP(C149,总表!B:B,总表!L:L,无,0)</f>
        <v>46113</v>
      </c>
      <c r="F149" s="283" t="s">
        <f>=_xlfn.XLOOKUP(C149,总表!B:B,总表!M:M,无,0)</f>
        <v>1415</v>
      </c>
      <c r="G149" s="209">
        <f>=_xlfn.XLOOKUP(C149,总表!B:B,总表!C:C,无,0)</f>
        <v>46112.7476388889</v>
      </c>
      <c r="H149" s="7" t="s">
        <f>=_xlfn.XLOOKUP(C149,总表!B:B,总表!F:F,无,0)</f>
        <v>277</v>
      </c>
      <c r="I149" s="355" t="s">
        <v>1657</v>
      </c>
      <c r="J149" s="209">
        <v>46119</v>
      </c>
      <c r="K149" s="7" t="s">
        <v>565</v>
      </c>
      <c r="L149" s="7" t="s">
        <v>26</v>
      </c>
      <c r="M149" s="287" t="s"/>
      <c r="N149" s="300" t="s">
        <v>1608</v>
      </c>
      <c r="O149" s="301" t="s"/>
      <c r="P149" s="300" t="s">
        <f>=IF(K149&lt;&gt;"",IF(ISBLANK(M149),IF(TODAY()-J149&gt;14,"超时","未超时"),IF(M149-J149&gt;14,"超时","未超时")),"")</f>
        <v>1601</v>
      </c>
      <c r="Q149" s="7" t="s"/>
      <c r="R149" s="290" t="s"/>
      <c r="S149" s="7" t="s"/>
      <c r="T149" s="7" t="s"/>
      <c r="U149" s="7" t="s"/>
      <c r="V149" s="7" t="s"/>
      <c r="W149" s="7" t="s"/>
      <c r="X149" s="7" t="s"/>
      <c r="Y149" s="290" t="s"/>
    </row>
    <row r="150" spans="1:25">
      <c r="A150" s="278">
        <v>149</v>
      </c>
      <c r="B150" s="279">
        <f>=_xlfn.XLOOKUP(C150,总表!B:B,总表!A:A,无,0)</f>
        <v>378</v>
      </c>
      <c r="C150" s="386" t="s">
        <v>188</v>
      </c>
      <c r="D150" s="281" t="s">
        <f>=_xlfn.XLOOKUP(C150,总表!B:B,总表!J:J,无0)</f>
        <v>12</v>
      </c>
      <c r="E150" s="282">
        <f>=_xlfn.XLOOKUP(C150,总表!B:B,总表!L:L,无,0)</f>
        <v>46113</v>
      </c>
      <c r="F150" s="283" t="s">
        <f>=_xlfn.XLOOKUP(C150,总表!B:B,总表!M:M,无,0)</f>
        <v>1418</v>
      </c>
      <c r="G150" s="209">
        <f>=_xlfn.XLOOKUP(C150,总表!B:B,总表!C:C,无,0)</f>
        <v>46112.6934837962</v>
      </c>
      <c r="H150" s="7" t="s">
        <f>=_xlfn.XLOOKUP(C150,总表!B:B,总表!F:F,无,0)</f>
        <v>228</v>
      </c>
      <c r="I150" s="11" t="s">
        <v>1644</v>
      </c>
      <c r="J150" s="209">
        <v>46113</v>
      </c>
      <c r="K150" s="7" t="s">
        <v>565</v>
      </c>
      <c r="L150" s="7" t="s">
        <v>26</v>
      </c>
      <c r="M150" s="287" t="s"/>
      <c r="N150" s="300" t="s">
        <v>1608</v>
      </c>
      <c r="O150" s="301" t="s"/>
      <c r="P150" s="300" t="s">
        <f>=IF(K150&lt;&gt;"",IF(ISBLANK(M150),IF(TODAY()-J150&gt;14,"超时","未超时"),IF(M150-J150&gt;14,"超时","未超时")),"")</f>
        <v>1601</v>
      </c>
      <c r="Q150" s="7" t="s"/>
      <c r="R150" s="290" t="s"/>
      <c r="S150" s="7" t="s"/>
      <c r="T150" s="7" t="s"/>
      <c r="U150" s="7" t="s"/>
      <c r="V150" s="7" t="s"/>
      <c r="W150" s="7" t="s"/>
      <c r="X150" s="7" t="s"/>
      <c r="Y150" s="290" t="s"/>
    </row>
    <row r="151" spans="1:25">
      <c r="A151" s="278">
        <v>150</v>
      </c>
      <c r="B151" s="279">
        <f>=_xlfn.XLOOKUP(C151,总表!B:B,总表!A:A,无,0)</f>
        <v>379</v>
      </c>
      <c r="C151" s="387" t="s">
        <v>189</v>
      </c>
      <c r="D151" s="281" t="s">
        <f>=_xlfn.XLOOKUP(C151,总表!B:B,总表!J:J,无0)</f>
        <v>12</v>
      </c>
      <c r="E151" s="282">
        <f>=_xlfn.XLOOKUP(C151,总表!B:B,总表!L:L,无,0)</f>
        <v>46115</v>
      </c>
      <c r="F151" s="283" t="s">
        <f>=_xlfn.XLOOKUP(C151,总表!B:B,总表!M:M,无,0)</f>
        <v>953</v>
      </c>
      <c r="G151" s="209">
        <f>=_xlfn.XLOOKUP(C151,总表!B:B,总表!C:C,无,0)</f>
        <v>46112.77</v>
      </c>
      <c r="H151" s="7" t="s">
        <f>=_xlfn.XLOOKUP(C151,总表!B:B,总表!F:F,无,0)</f>
        <v>228</v>
      </c>
      <c r="I151" s="11" t="s"/>
      <c r="J151" s="209">
        <v>46119</v>
      </c>
      <c r="K151" s="7" t="s">
        <v>565</v>
      </c>
      <c r="L151" s="7" t="s">
        <v>35</v>
      </c>
      <c r="M151" s="287" t="s"/>
      <c r="N151" s="300" t="s">
        <v>1608</v>
      </c>
      <c r="O151" s="301" t="s"/>
      <c r="P151" s="300" t="s">
        <f>=IF(K151&lt;&gt;"",IF(ISBLANK(M151),IF(TODAY()-J151&gt;14,"超时","未超时"),IF(M151-J151&gt;14,"超时","未超时")),"")</f>
        <v>1601</v>
      </c>
      <c r="Q151" s="7" t="s"/>
      <c r="R151" s="290" t="s"/>
      <c r="S151" s="7" t="s"/>
      <c r="T151" s="7" t="s"/>
      <c r="U151" s="7" t="s"/>
      <c r="V151" s="7" t="s"/>
      <c r="W151" s="7" t="s"/>
      <c r="X151" s="7" t="s"/>
      <c r="Y151" s="290" t="s"/>
    </row>
    <row r="152" spans="1:25">
      <c r="A152" s="278">
        <v>151</v>
      </c>
      <c r="B152" s="279">
        <f>=_xlfn.XLOOKUP(C152,总表!B:B,总表!A:A,无,0)</f>
        <v>381</v>
      </c>
      <c r="C152" s="387" t="s">
        <v>190</v>
      </c>
      <c r="D152" s="281" t="s">
        <f>=_xlfn.XLOOKUP(C152,总表!B:B,总表!J:J,无0)</f>
        <v>12</v>
      </c>
      <c r="E152" s="282">
        <f>=_xlfn.XLOOKUP(C152,总表!B:B,总表!L:L,无,0)</f>
        <v>46120</v>
      </c>
      <c r="F152" s="283" t="s">
        <f>=_xlfn.XLOOKUP(C152,总表!B:B,总表!M:M,无,0)</f>
        <v>1380</v>
      </c>
      <c r="G152" s="209">
        <f>=_xlfn.XLOOKUP(C152,总表!B:B,总表!C:C,无,0)</f>
        <v>46112.6894560185</v>
      </c>
      <c r="H152" s="7" t="s">
        <f>=_xlfn.XLOOKUP(C152,总表!B:B,总表!F:F,无,0)</f>
        <v>236</v>
      </c>
      <c r="I152" s="11" t="s"/>
      <c r="J152" s="209">
        <v>46120</v>
      </c>
      <c r="K152" s="7" t="s">
        <v>565</v>
      </c>
      <c r="L152" s="7" t="s">
        <v>26</v>
      </c>
      <c r="M152" s="287" t="s"/>
      <c r="N152" s="300" t="s">
        <v>1608</v>
      </c>
      <c r="O152" s="301" t="s"/>
      <c r="P152" s="300" t="s">
        <f>=IF(K152&lt;&gt;"",IF(ISBLANK(M152),IF(TODAY()-J152&gt;14,"超时","未超时"),IF(M152-J152&gt;14,"超时","未超时")),"")</f>
        <v>1601</v>
      </c>
      <c r="Q152" s="7" t="s"/>
      <c r="R152" s="290" t="s"/>
      <c r="S152" s="7" t="s"/>
      <c r="T152" s="7" t="s"/>
      <c r="U152" s="7" t="s"/>
      <c r="V152" s="7" t="s"/>
      <c r="W152" s="7" t="s"/>
      <c r="X152" s="7" t="s"/>
      <c r="Y152" s="290" t="s"/>
    </row>
    <row r="153" spans="1:25">
      <c r="A153" s="278">
        <v>152</v>
      </c>
      <c r="B153" s="279">
        <f>=_xlfn.XLOOKUP(C153,总表!B:B,总表!A:A,无,0)</f>
        <v>383</v>
      </c>
      <c r="C153" s="386" t="s">
        <v>191</v>
      </c>
      <c r="D153" s="281" t="s">
        <f>=_xlfn.XLOOKUP(C153,总表!B:B,总表!J:J,无0)</f>
        <v>15</v>
      </c>
      <c r="E153" s="282">
        <f>=_xlfn.XLOOKUP(C153,总表!B:B,总表!L:L,无,0)</f>
        <v>46114</v>
      </c>
      <c r="F153" s="283" t="s">
        <f>=_xlfn.XLOOKUP(C153,总表!B:B,总表!M:M,无,0)</f>
        <v>1428</v>
      </c>
      <c r="G153" s="209">
        <f>=_xlfn.XLOOKUP(C153,总表!B:B,总表!C:C,无,0)</f>
        <v>46112.7238888889</v>
      </c>
      <c r="H153" s="7" t="s">
        <f>=_xlfn.XLOOKUP(C153,总表!B:B,总表!F:F,无,0)</f>
        <v>228</v>
      </c>
      <c r="I153" s="11" t="s">
        <v>1652</v>
      </c>
      <c r="J153" s="209">
        <v>46114</v>
      </c>
      <c r="K153" s="7" t="s">
        <v>565</v>
      </c>
      <c r="L153" s="7" t="s">
        <v>192</v>
      </c>
      <c r="M153" s="287" t="s"/>
      <c r="N153" s="300" t="s">
        <v>1608</v>
      </c>
      <c r="O153" s="301" t="s"/>
      <c r="P153" s="300" t="s">
        <f>=IF(K153&lt;&gt;"",IF(ISBLANK(M153),IF(TODAY()-J153&gt;14,"超时","未超时"),IF(M153-J153&gt;14,"超时","未超时")),"")</f>
        <v>1601</v>
      </c>
      <c r="Q153" s="7" t="s"/>
      <c r="R153" s="290" t="s"/>
      <c r="S153" s="7" t="s"/>
      <c r="T153" s="7" t="s"/>
      <c r="U153" s="7" t="s"/>
      <c r="V153" s="7" t="s"/>
      <c r="W153" s="7" t="s"/>
      <c r="X153" s="7" t="s"/>
      <c r="Y153" s="290" t="s"/>
    </row>
    <row r="154" spans="1:25">
      <c r="A154" s="278">
        <v>153</v>
      </c>
      <c r="B154" s="279">
        <f>=_xlfn.XLOOKUP(C154,总表!B:B,总表!A:A,无,0)</f>
        <v>384</v>
      </c>
      <c r="C154" s="387" t="s">
        <v>193</v>
      </c>
      <c r="D154" s="281" t="s">
        <f>=_xlfn.XLOOKUP(C154,总表!B:B,总表!J:J,无0)</f>
        <v>15</v>
      </c>
      <c r="E154" s="282">
        <f>=_xlfn.XLOOKUP(C154,总表!B:B,总表!L:L,无,0)</f>
        <v>46126</v>
      </c>
      <c r="F154" s="283" t="s">
        <f>=_xlfn.XLOOKUP(C154,总表!B:B,总表!M:M,无,0)</f>
        <v>610</v>
      </c>
      <c r="G154" s="209">
        <f>=_xlfn.XLOOKUP(C154,总表!B:B,总表!C:C,无,0)</f>
        <v>46112.6967824074</v>
      </c>
      <c r="H154" s="7" t="s">
        <f>=_xlfn.XLOOKUP(C154,总表!B:B,总表!F:F,无,0)</f>
        <v>234</v>
      </c>
      <c r="I154" s="11" t="s">
        <v>1658</v>
      </c>
      <c r="J154" s="209">
        <v>46126</v>
      </c>
      <c r="K154" s="7" t="s">
        <v>1654</v>
      </c>
      <c r="L154" s="7" t="s">
        <v>194</v>
      </c>
      <c r="M154" s="287" t="s"/>
      <c r="N154" s="300" t="s">
        <v>1608</v>
      </c>
      <c r="O154" s="301" t="s"/>
      <c r="P154" s="300" t="s">
        <f>=IF(K154&lt;&gt;"",IF(ISBLANK(M154),IF(TODAY()-J154&gt;14,"超时","未超时"),IF(M154-J154&gt;14,"超时","未超时")),"")</f>
        <v>1601</v>
      </c>
      <c r="Q154" s="7" t="s"/>
      <c r="R154" s="290" t="s"/>
      <c r="S154" s="7" t="s"/>
      <c r="T154" s="7" t="s"/>
      <c r="U154" s="7" t="s"/>
      <c r="V154" s="7" t="s"/>
      <c r="W154" s="7" t="s"/>
      <c r="X154" s="7" t="s"/>
      <c r="Y154" s="290" t="s"/>
    </row>
    <row r="155" spans="1:25">
      <c r="A155" s="278">
        <v>154</v>
      </c>
      <c r="B155" s="279">
        <f>=_xlfn.XLOOKUP(C155,总表!B:B,总表!A:A,无,0)</f>
        <v>386</v>
      </c>
      <c r="C155" s="387" t="s">
        <v>195</v>
      </c>
      <c r="D155" s="281" t="s">
        <f>=_xlfn.XLOOKUP(C155,总表!B:B,总表!J:J,无0)</f>
        <v>12</v>
      </c>
      <c r="E155" s="282">
        <f>=_xlfn.XLOOKUP(C155,总表!B:B,总表!L:L,无,0)</f>
        <v>0</v>
      </c>
      <c r="F155" s="283">
        <f>=_xlfn.XLOOKUP(C155,总表!B:B,总表!M:M,无,0)</f>
        <v>0</v>
      </c>
      <c r="G155" s="209">
        <f>=_xlfn.XLOOKUP(C155,总表!B:B,总表!C:C,无,0)</f>
        <v>46112.7493865741</v>
      </c>
      <c r="H155" s="7" t="s">
        <f>=_xlfn.XLOOKUP(C155,总表!B:B,总表!F:F,无,0)</f>
        <v>224</v>
      </c>
      <c r="I155" s="11" t="s"/>
      <c r="J155" s="209" t="s"/>
      <c r="K155" s="7" t="s"/>
      <c r="L155" s="7" t="s"/>
      <c r="M155" s="287" t="s"/>
      <c r="N155" s="300" t="s"/>
      <c r="O155" s="301" t="s"/>
      <c r="P155" s="300" t="s">
        <f>=IF(K155&lt;&gt;"",IF(ISBLANK(M155),IF(TODAY()-J155&gt;14,"超时","未超时"),IF(M155-J155&gt;14,"超时","未超时")),"")</f>
      </c>
      <c r="Q155" s="7" t="s"/>
      <c r="R155" s="290" t="s"/>
      <c r="S155" s="7" t="s"/>
      <c r="T155" s="7" t="s"/>
      <c r="U155" s="7" t="s"/>
      <c r="V155" s="7" t="s"/>
      <c r="W155" s="7" t="s"/>
      <c r="X155" s="7" t="s"/>
      <c r="Y155" s="290" t="s"/>
    </row>
    <row r="156" spans="1:25">
      <c r="A156" s="278">
        <v>155</v>
      </c>
      <c r="B156" s="279">
        <f>=_xlfn.XLOOKUP(C156,总表!B:B,总表!A:A,无,0)</f>
        <v>389</v>
      </c>
      <c r="C156" s="386" t="s">
        <v>196</v>
      </c>
      <c r="D156" s="281" t="s">
        <f>=_xlfn.XLOOKUP(C156,总表!B:B,总表!J:J,无0)</f>
        <v>12</v>
      </c>
      <c r="E156" s="282">
        <f>=_xlfn.XLOOKUP(C156,总表!B:B,总表!L:L,无,0)</f>
        <v>46113</v>
      </c>
      <c r="F156" s="283" t="s">
        <f>=_xlfn.XLOOKUP(C156,总表!B:B,总表!M:M,无,0)</f>
        <v>1415</v>
      </c>
      <c r="G156" s="209">
        <f>=_xlfn.XLOOKUP(C156,总表!B:B,总表!C:C,无,0)</f>
        <v>46112.7260532407</v>
      </c>
      <c r="H156" s="7" t="s">
        <f>=_xlfn.XLOOKUP(C156,总表!B:B,总表!F:F,无,0)</f>
        <v>234</v>
      </c>
      <c r="I156" s="11" t="s">
        <v>1642</v>
      </c>
      <c r="J156" s="209">
        <v>46114</v>
      </c>
      <c r="K156" s="7" t="s">
        <v>565</v>
      </c>
      <c r="L156" s="7" t="s">
        <v>26</v>
      </c>
      <c r="M156" s="287">
        <v>46122</v>
      </c>
      <c r="N156" s="300" t="s">
        <v>611</v>
      </c>
      <c r="O156" s="301" t="s"/>
      <c r="P156" s="300" t="s">
        <f>=IF(K156&lt;&gt;"",IF(ISBLANK(M156),IF(TODAY()-J156&gt;14,"超时","未超时"),IF(M156-J156&gt;14,"超时","未超时")),"")</f>
        <v>1601</v>
      </c>
      <c r="Q156" s="7" t="s"/>
      <c r="R156" s="290" t="s"/>
      <c r="S156" s="7" t="s"/>
      <c r="T156" s="7" t="s"/>
      <c r="U156" s="7" t="s"/>
      <c r="V156" s="7" t="s"/>
      <c r="W156" s="7" t="s"/>
      <c r="X156" s="7" t="s"/>
      <c r="Y156" s="290" t="s"/>
    </row>
    <row r="157" spans="1:25">
      <c r="A157" s="278">
        <v>156</v>
      </c>
      <c r="B157" s="279">
        <f>=_xlfn.XLOOKUP(C157,总表!B:B,总表!A:A,无,0)</f>
        <v>391</v>
      </c>
      <c r="C157" s="386" t="s">
        <v>197</v>
      </c>
      <c r="D157" s="281" t="s">
        <f>=_xlfn.XLOOKUP(C157,总表!B:B,总表!J:J,无0)</f>
        <v>12</v>
      </c>
      <c r="E157" s="282">
        <f>=_xlfn.XLOOKUP(C157,总表!B:B,总表!L:L,无,0)</f>
        <v>46113</v>
      </c>
      <c r="F157" s="283" t="s">
        <f>=_xlfn.XLOOKUP(C157,总表!B:B,总表!M:M,无,0)</f>
        <v>1214</v>
      </c>
      <c r="G157" s="209">
        <f>=_xlfn.XLOOKUP(C157,总表!B:B,总表!C:C,无,0)</f>
        <v>46112.7765277778</v>
      </c>
      <c r="H157" s="7" t="s">
        <f>=_xlfn.XLOOKUP(C157,总表!B:B,总表!F:F,无,0)</f>
        <v>277</v>
      </c>
      <c r="I157" s="11" t="s">
        <v>1644</v>
      </c>
      <c r="J157" s="209">
        <v>46113</v>
      </c>
      <c r="K157" s="7" t="s">
        <v>565</v>
      </c>
      <c r="L157" s="7" t="s">
        <v>26</v>
      </c>
      <c r="M157" s="287">
        <v>46125</v>
      </c>
      <c r="N157" s="300" t="s">
        <v>1608</v>
      </c>
      <c r="O157" s="301" t="s"/>
      <c r="P157" s="300" t="s">
        <f>=IF(K157&lt;&gt;"",IF(ISBLANK(M157),IF(TODAY()-J157&gt;14,"超时","未超时"),IF(M157-J157&gt;14,"超时","未超时")),"")</f>
        <v>1601</v>
      </c>
      <c r="Q157" s="7" t="s"/>
      <c r="R157" s="290" t="s"/>
      <c r="S157" s="7" t="s"/>
      <c r="T157" s="7" t="s"/>
      <c r="U157" s="7" t="s"/>
      <c r="V157" s="7" t="s"/>
      <c r="W157" s="7" t="s"/>
      <c r="X157" s="7" t="s"/>
      <c r="Y157" s="290" t="s"/>
    </row>
    <row r="158" spans="1:25">
      <c r="A158" s="278">
        <v>157</v>
      </c>
      <c r="B158" s="279">
        <f>=_xlfn.XLOOKUP(C158,总表!B:B,总表!A:A,无,0)</f>
        <v>395</v>
      </c>
      <c r="C158" s="379" t="s">
        <v>198</v>
      </c>
      <c r="D158" s="281" t="s">
        <f>=_xlfn.XLOOKUP(C158,总表!B:B,总表!J:J,无0)</f>
        <v>15</v>
      </c>
      <c r="E158" s="363">
        <f>=_xlfn.XLOOKUP(C158,总表!B:B,总表!L:L,无,0)</f>
        <v>46125</v>
      </c>
      <c r="F158" s="283" t="s">
        <f>=_xlfn.XLOOKUP(C158,总表!B:B,总表!M:M,无,0)</f>
        <v>1154</v>
      </c>
      <c r="G158" s="209">
        <f>=_xlfn.XLOOKUP(C158,总表!B:B,总表!C:C,无,0)</f>
        <v>46114.5221527778</v>
      </c>
      <c r="H158" s="7" t="s">
        <f>=_xlfn.XLOOKUP(C158,总表!B:B,总表!F:F,无,0)</f>
        <v>224</v>
      </c>
      <c r="I158" s="11" t="s"/>
      <c r="J158" s="209">
        <v>46125</v>
      </c>
      <c r="K158" s="7" t="s">
        <v>1654</v>
      </c>
      <c r="L158" s="7" t="s"/>
      <c r="M158" s="287" t="s"/>
      <c r="N158" s="300" t="s">
        <v>1608</v>
      </c>
      <c r="O158" s="301" t="s"/>
      <c r="P158" s="300" t="s">
        <f>=IF(K158&lt;&gt;"",IF(ISBLANK(M158),IF(TODAY()-J158&gt;14,"超时","未超时"),IF(M158-J158&gt;14,"超时","未超时")),"")</f>
        <v>1601</v>
      </c>
      <c r="Q158" s="7" t="s"/>
      <c r="R158" s="290" t="s"/>
      <c r="S158" s="7" t="s"/>
      <c r="T158" s="7" t="s"/>
      <c r="U158" s="7" t="s"/>
      <c r="V158" s="7" t="s"/>
      <c r="W158" s="7" t="s"/>
      <c r="X158" s="7" t="s"/>
      <c r="Y158" s="290" t="s"/>
    </row>
    <row r="159" spans="1:25">
      <c r="A159" s="278">
        <v>158</v>
      </c>
      <c r="B159" s="279">
        <f>=_xlfn.XLOOKUP(C159,总表!B:B,总表!A:A,无,0)</f>
        <v>396</v>
      </c>
      <c r="C159" s="379" t="s">
        <v>199</v>
      </c>
      <c r="D159" s="281" t="s">
        <f>=_xlfn.XLOOKUP(C159,总表!B:B,总表!J:J,无0)</f>
        <v>15</v>
      </c>
      <c r="E159" s="282">
        <f>=_xlfn.XLOOKUP(C159,总表!B:B,总表!L:L,无,0)</f>
        <v>46115</v>
      </c>
      <c r="F159" s="283" t="s">
        <f>=_xlfn.XLOOKUP(C159,总表!B:B,总表!M:M,无,0)</f>
        <v>953</v>
      </c>
      <c r="G159" s="209">
        <f>=_xlfn.XLOOKUP(C159,总表!B:B,总表!C:C,无,0)</f>
        <v>46114.4694444444</v>
      </c>
      <c r="H159" s="7" t="s">
        <f>=_xlfn.XLOOKUP(C159,总表!B:B,总表!F:F,无,0)</f>
        <v>228</v>
      </c>
      <c r="I159" s="11" t="s"/>
      <c r="J159" s="209">
        <v>46119</v>
      </c>
      <c r="K159" s="7" t="s">
        <v>565</v>
      </c>
      <c r="L159" s="7" t="s">
        <v>192</v>
      </c>
      <c r="M159" s="287" t="s"/>
      <c r="N159" s="300" t="s">
        <v>1608</v>
      </c>
      <c r="O159" s="301" t="s"/>
      <c r="P159" s="300" t="s">
        <f>=IF(K159&lt;&gt;"",IF(ISBLANK(M159),IF(TODAY()-J159&gt;14,"超时","未超时"),IF(M159-J159&gt;14,"超时","未超时")),"")</f>
        <v>1601</v>
      </c>
      <c r="Q159" s="7" t="s"/>
      <c r="R159" s="290" t="s"/>
      <c r="S159" s="7" t="s"/>
      <c r="T159" s="7" t="s"/>
      <c r="U159" s="7" t="s"/>
      <c r="V159" s="7" t="s"/>
      <c r="W159" s="7" t="s"/>
      <c r="X159" s="7" t="s"/>
      <c r="Y159" s="290" t="s"/>
    </row>
    <row r="160" spans="1:25">
      <c r="A160" s="278">
        <v>159</v>
      </c>
      <c r="B160" s="279">
        <f>=_xlfn.XLOOKUP(C160,总表!B:B,总表!A:A,无,0)</f>
        <v>398</v>
      </c>
      <c r="C160" s="389" t="s">
        <v>200</v>
      </c>
      <c r="D160" s="281" t="s">
        <f>=_xlfn.XLOOKUP(C160,总表!B:B,总表!J:J,无0)</f>
        <v>12</v>
      </c>
      <c r="E160" s="282">
        <f>=_xlfn.XLOOKUP(C160,总表!B:B,总表!L:L,无,0)</f>
        <v>46120</v>
      </c>
      <c r="F160" s="283" t="s">
        <f>=_xlfn.XLOOKUP(C160,总表!B:B,总表!M:M,无,0)</f>
        <v>610</v>
      </c>
      <c r="G160" s="209">
        <f>=_xlfn.XLOOKUP(C160,总表!B:B,总表!C:C,无,0)</f>
        <v>46114.5890972222</v>
      </c>
      <c r="H160" s="7" t="s">
        <f>=_xlfn.XLOOKUP(C160,总表!B:B,总表!F:F,无,0)</f>
        <v>236</v>
      </c>
      <c r="I160" s="11" t="s"/>
      <c r="J160" s="209">
        <v>46120</v>
      </c>
      <c r="K160" s="7" t="s">
        <v>565</v>
      </c>
      <c r="L160" s="7" t="s">
        <v>35</v>
      </c>
      <c r="M160" s="287" t="s"/>
      <c r="N160" s="300" t="s">
        <v>1608</v>
      </c>
      <c r="O160" s="301" t="s"/>
      <c r="P160" s="300" t="s">
        <f>=IF(K160&lt;&gt;"",IF(ISBLANK(M160),IF(TODAY()-J160&gt;14,"超时","未超时"),IF(M160-J160&gt;14,"超时","未超时")),"")</f>
        <v>1601</v>
      </c>
      <c r="Q160" s="7" t="s"/>
      <c r="R160" s="290" t="s"/>
      <c r="S160" s="7" t="s"/>
      <c r="T160" s="7" t="s"/>
      <c r="U160" s="7" t="s"/>
      <c r="V160" s="7" t="s"/>
      <c r="W160" s="7" t="s"/>
      <c r="X160" s="7" t="s"/>
      <c r="Y160" s="290" t="s"/>
    </row>
    <row r="161" spans="1:25">
      <c r="A161" s="278">
        <v>160</v>
      </c>
      <c r="B161" s="279">
        <f>=_xlfn.XLOOKUP(C161,总表!B:B,总表!A:A,无,0)</f>
        <v>406</v>
      </c>
      <c r="C161" s="390" t="s">
        <v>201</v>
      </c>
      <c r="D161" s="281" t="s">
        <f>=_xlfn.XLOOKUP(C161,总表!B:B,总表!J:J,无0)</f>
        <v>12</v>
      </c>
      <c r="E161" s="282">
        <f>=_xlfn.XLOOKUP(C161,总表!B:B,总表!L:L,无,0)</f>
        <v>46119</v>
      </c>
      <c r="F161" s="283" t="s">
        <f>=_xlfn.XLOOKUP(C161,总表!B:B,总表!M:M,无,0)</f>
        <v>1468</v>
      </c>
      <c r="G161" s="209">
        <f>=_xlfn.XLOOKUP(C161,总表!B:B,总表!C:C,无,0)</f>
        <v>46114.6293402778</v>
      </c>
      <c r="H161" s="7" t="s">
        <f>=_xlfn.XLOOKUP(C161,总表!B:B,总表!F:F,无,0)</f>
        <v>228</v>
      </c>
      <c r="I161" s="11" t="s"/>
      <c r="J161" s="209">
        <v>46119</v>
      </c>
      <c r="K161" s="7" t="s">
        <v>565</v>
      </c>
      <c r="L161" s="7" t="s">
        <v>18</v>
      </c>
      <c r="M161" s="287" t="s"/>
      <c r="N161" s="300" t="s">
        <v>1608</v>
      </c>
      <c r="O161" s="301" t="s"/>
      <c r="P161" s="300" t="s">
        <f>=IF(K161&lt;&gt;"",IF(ISBLANK(M161),IF(TODAY()-J161&gt;14,"超时","未超时"),IF(M161-J161&gt;14,"超时","未超时")),"")</f>
        <v>1601</v>
      </c>
      <c r="Q161" s="7" t="s"/>
      <c r="R161" s="290" t="s"/>
      <c r="S161" s="7" t="s"/>
      <c r="T161" s="7" t="s"/>
      <c r="U161" s="7" t="s"/>
      <c r="V161" s="7" t="s"/>
      <c r="W161" s="7" t="s"/>
      <c r="X161" s="7" t="s"/>
      <c r="Y161" s="290" t="s"/>
    </row>
    <row r="162" spans="1:25">
      <c r="A162" s="278">
        <v>161</v>
      </c>
      <c r="B162" s="279">
        <f>=_xlfn.XLOOKUP(C162,总表!B:B,总表!A:A,无,0)</f>
        <v>407</v>
      </c>
      <c r="C162" s="373" t="s">
        <v>202</v>
      </c>
      <c r="D162" s="281" t="s">
        <f>=_xlfn.XLOOKUP(C162,总表!B:B,总表!J:J,无0)</f>
        <v>12</v>
      </c>
      <c r="E162" s="282">
        <f>=_xlfn.XLOOKUP(C162,总表!B:B,总表!L:L,无,0)</f>
        <v>46120</v>
      </c>
      <c r="F162" s="283" t="s">
        <f>=_xlfn.XLOOKUP(C162,总表!B:B,总表!M:M,无,0)</f>
        <v>968</v>
      </c>
      <c r="G162" s="209">
        <f>=_xlfn.XLOOKUP(C162,总表!B:B,总表!C:C,无,0)</f>
        <v>46114.7204398148</v>
      </c>
      <c r="H162" s="7" t="s">
        <f>=_xlfn.XLOOKUP(C162,总表!B:B,总表!F:F,无,0)</f>
        <v>236</v>
      </c>
      <c r="I162" s="11" t="s"/>
      <c r="J162" s="209">
        <v>46120</v>
      </c>
      <c r="K162" s="7" t="s">
        <v>565</v>
      </c>
      <c r="L162" s="7" t="s">
        <v>35</v>
      </c>
      <c r="M162" s="287" t="s"/>
      <c r="N162" s="300" t="s">
        <v>1608</v>
      </c>
      <c r="O162" s="301" t="s"/>
      <c r="P162" s="300" t="s">
        <f>=IF(K162&lt;&gt;"",IF(ISBLANK(M162),IF(TODAY()-J162&gt;14,"超时","未超时"),IF(M162-J162&gt;14,"超时","未超时")),"")</f>
        <v>1601</v>
      </c>
      <c r="Q162" s="7" t="s"/>
      <c r="R162" s="290" t="s"/>
      <c r="S162" s="7" t="s"/>
      <c r="T162" s="7" t="s"/>
      <c r="U162" s="7" t="s"/>
      <c r="V162" s="7" t="s"/>
      <c r="W162" s="7" t="s"/>
      <c r="X162" s="7" t="s"/>
      <c r="Y162" s="290" t="s"/>
    </row>
    <row r="163" spans="1:25">
      <c r="A163" s="278">
        <v>162</v>
      </c>
      <c r="B163" s="279">
        <f>=_xlfn.XLOOKUP(C163,总表!B:B,总表!A:A,无,0)</f>
        <v>411</v>
      </c>
      <c r="C163" s="391" t="s">
        <v>203</v>
      </c>
      <c r="D163" s="281" t="s">
        <f>=_xlfn.XLOOKUP(C163,总表!B:B,总表!J:J,无0)</f>
        <v>12</v>
      </c>
      <c r="E163" s="282">
        <f>=_xlfn.XLOOKUP(C163,总表!B:B,总表!L:L,无,0)</f>
        <v>0</v>
      </c>
      <c r="F163" s="283">
        <f>=_xlfn.XLOOKUP(C163,总表!B:B,总表!M:M,无,0)</f>
        <v>0</v>
      </c>
      <c r="G163" s="209">
        <f>=_xlfn.XLOOKUP(C163,总表!B:B,总表!C:C,无,0)</f>
        <v>46115.4507407407</v>
      </c>
      <c r="H163" s="7" t="s">
        <f>=_xlfn.XLOOKUP(C163,总表!B:B,总表!F:F,无,0)</f>
        <v>277</v>
      </c>
      <c r="I163" s="11" t="s"/>
      <c r="J163" s="209" t="s"/>
      <c r="K163" s="7" t="s"/>
      <c r="L163" s="7" t="s"/>
      <c r="M163" s="287" t="s"/>
      <c r="N163" s="300" t="s"/>
      <c r="O163" s="301" t="s"/>
      <c r="P163" s="300" t="s">
        <f>=IF(K163&lt;&gt;"",IF(ISBLANK(M163),IF(TODAY()-J163&gt;14,"超时","未超时"),IF(M163-J163&gt;14,"超时","未超时")),"")</f>
      </c>
      <c r="Q163" s="7" t="s"/>
      <c r="R163" s="290" t="s"/>
      <c r="S163" s="7" t="s"/>
      <c r="T163" s="7" t="s"/>
      <c r="U163" s="7" t="s"/>
      <c r="V163" s="7" t="s"/>
      <c r="W163" s="7" t="s"/>
      <c r="X163" s="7" t="s"/>
      <c r="Y163" s="290" t="s"/>
    </row>
    <row r="164" spans="1:25">
      <c r="A164" s="278">
        <v>163</v>
      </c>
      <c r="B164" s="279">
        <f>=_xlfn.XLOOKUP(C164,总表!B:B,总表!A:A,无,0)</f>
        <v>412</v>
      </c>
      <c r="C164" s="392" t="s">
        <v>204</v>
      </c>
      <c r="D164" s="281" t="s">
        <f>=_xlfn.XLOOKUP(C164,总表!B:B,总表!J:J,无0)</f>
        <v>12</v>
      </c>
      <c r="E164" s="282">
        <f>=_xlfn.XLOOKUP(C164,总表!B:B,总表!L:L,无,0)</f>
        <v>46120</v>
      </c>
      <c r="F164" s="283" t="s">
        <f>=_xlfn.XLOOKUP(C164,总表!B:B,总表!M:M,无,0)</f>
        <v>1214</v>
      </c>
      <c r="G164" s="209">
        <f>=_xlfn.XLOOKUP(C164,总表!B:B,总表!C:C,无,0)</f>
        <v>46115.4919791667</v>
      </c>
      <c r="H164" s="7" t="s">
        <f>=_xlfn.XLOOKUP(C164,总表!B:B,总表!F:F,无,0)</f>
        <v>277</v>
      </c>
      <c r="I164" s="11" t="s"/>
      <c r="J164" s="209">
        <v>46121</v>
      </c>
      <c r="K164" s="7" t="s">
        <v>565</v>
      </c>
      <c r="L164" s="7" t="s">
        <v>18</v>
      </c>
      <c r="M164" s="287" t="s"/>
      <c r="N164" s="300" t="s">
        <v>1608</v>
      </c>
      <c r="O164" s="301" t="s"/>
      <c r="P164" s="300" t="s">
        <f>=IF(K164&lt;&gt;"",IF(ISBLANK(M164),IF(TODAY()-J164&gt;14,"超时","未超时"),IF(M164-J164&gt;14,"超时","未超时")),"")</f>
        <v>1601</v>
      </c>
      <c r="Q164" s="7" t="s"/>
      <c r="R164" s="290" t="s"/>
      <c r="S164" s="7" t="s"/>
      <c r="T164" s="7" t="s"/>
      <c r="U164" s="7" t="s"/>
      <c r="V164" s="7" t="s"/>
      <c r="W164" s="7" t="s"/>
      <c r="X164" s="7" t="s"/>
      <c r="Y164" s="290" t="s"/>
    </row>
    <row r="165" spans="1:25">
      <c r="A165" s="278">
        <v>164</v>
      </c>
      <c r="B165" s="279">
        <f>=_xlfn.XLOOKUP(C165,总表!B:B,总表!A:A,无,0)</f>
        <v>424</v>
      </c>
      <c r="C165" s="393" t="s">
        <v>205</v>
      </c>
      <c r="D165" s="281" t="s">
        <f>=_xlfn.XLOOKUP(C165,总表!B:B,总表!J:J,无0)</f>
        <v>12</v>
      </c>
      <c r="E165" s="282">
        <f>=_xlfn.XLOOKUP(C165,总表!B:B,总表!L:L,无,0)</f>
        <v>0</v>
      </c>
      <c r="F165" s="283">
        <f>=_xlfn.XLOOKUP(C165,总表!B:B,总表!M:M,无,0)</f>
        <v>0</v>
      </c>
      <c r="G165" s="209">
        <f>=_xlfn.XLOOKUP(C165,总表!B:B,总表!C:C,无,0)</f>
        <v>46115.7913078704</v>
      </c>
      <c r="H165" s="7" t="s">
        <f>=_xlfn.XLOOKUP(C165,总表!B:B,总表!F:F,无,0)</f>
        <v>239</v>
      </c>
      <c r="I165" s="11" t="s"/>
      <c r="J165" s="209" t="s"/>
      <c r="K165" s="7" t="s"/>
      <c r="L165" s="7" t="s"/>
      <c r="M165" s="287" t="s"/>
      <c r="N165" s="300" t="s"/>
      <c r="O165" s="301" t="s"/>
      <c r="P165" s="300" t="s">
        <f>=IF(K165&lt;&gt;"",IF(ISBLANK(M165),IF(TODAY()-J165&gt;14,"超时","未超时"),IF(M165-J165&gt;14,"超时","未超时")),"")</f>
      </c>
      <c r="Q165" s="7" t="s"/>
      <c r="R165" s="290" t="s"/>
      <c r="S165" s="7" t="s"/>
      <c r="T165" s="7" t="s"/>
      <c r="U165" s="7" t="s"/>
      <c r="V165" s="7" t="s"/>
      <c r="W165" s="7" t="s"/>
      <c r="X165" s="7" t="s"/>
      <c r="Y165" s="290" t="s"/>
    </row>
    <row r="166" spans="1:25">
      <c r="A166" s="278">
        <v>165</v>
      </c>
      <c r="B166" s="279">
        <f>=_xlfn.XLOOKUP(C166,总表!B:B,总表!A:A,无,0)</f>
        <v>427</v>
      </c>
      <c r="C166" s="394" t="s">
        <v>206</v>
      </c>
      <c r="D166" s="281" t="s">
        <f>=_xlfn.XLOOKUP(C166,总表!B:B,总表!J:J,无0)</f>
        <v>12</v>
      </c>
      <c r="E166" s="282">
        <f>=_xlfn.XLOOKUP(C166,总表!B:B,总表!L:L,无,0)</f>
        <v>46119</v>
      </c>
      <c r="F166" s="283" t="s">
        <f>=_xlfn.XLOOKUP(C166,总表!B:B,总表!M:M,无,0)</f>
        <v>1506</v>
      </c>
      <c r="G166" s="209">
        <f>=_xlfn.XLOOKUP(C166,总表!B:B,总表!C:C,无,0)</f>
        <v>46119.5855555556</v>
      </c>
      <c r="H166" s="7" t="s">
        <f>=_xlfn.XLOOKUP(C166,总表!B:B,总表!F:F,无,0)</f>
        <v>239</v>
      </c>
      <c r="I166" s="11" t="s">
        <v>1659</v>
      </c>
      <c r="J166" s="209">
        <v>46119</v>
      </c>
      <c r="K166" s="7" t="s">
        <v>565</v>
      </c>
      <c r="L166" s="7" t="s">
        <v>35</v>
      </c>
      <c r="M166" s="287" t="s"/>
      <c r="N166" s="300" t="s">
        <v>1608</v>
      </c>
      <c r="O166" s="301" t="s"/>
      <c r="P166" s="300" t="s">
        <f>=IF(K166&lt;&gt;"",IF(ISBLANK(M166),IF(TODAY()-J166&gt;14,"超时","未超时"),IF(M166-J166&gt;14,"超时","未超时")),"")</f>
        <v>1601</v>
      </c>
      <c r="Q166" s="7" t="s"/>
      <c r="R166" s="290" t="s"/>
      <c r="S166" s="7" t="s"/>
      <c r="T166" s="7" t="s"/>
      <c r="U166" s="7" t="s"/>
      <c r="V166" s="7" t="s"/>
      <c r="W166" s="7" t="s"/>
      <c r="X166" s="7" t="s"/>
      <c r="Y166" s="290" t="s"/>
    </row>
    <row r="167" spans="1:25">
      <c r="A167" s="278">
        <v>166</v>
      </c>
      <c r="B167" s="279">
        <f>=_xlfn.XLOOKUP(C167,总表!B:B,总表!A:A,无,0)</f>
        <v>434</v>
      </c>
      <c r="C167" s="395" t="s">
        <v>207</v>
      </c>
      <c r="D167" s="281" t="s">
        <f>=_xlfn.XLOOKUP(C167,总表!B:B,总表!J:J,无0)</f>
        <v>15</v>
      </c>
      <c r="E167" s="282">
        <f>=_xlfn.XLOOKUP(C167,总表!B:B,总表!L:L,无,0)</f>
        <v>46121</v>
      </c>
      <c r="F167" s="283" t="s">
        <f>=_xlfn.XLOOKUP(C167,总表!B:B,总表!M:M,无,0)</f>
        <v>1518</v>
      </c>
      <c r="G167" s="209">
        <f>=_xlfn.XLOOKUP(C167,总表!B:B,总表!C:C,无,0)</f>
        <v>46119.7485069444</v>
      </c>
      <c r="H167" s="7" t="s">
        <f>=_xlfn.XLOOKUP(C167,总表!B:B,总表!F:F,无,0)</f>
        <v>239</v>
      </c>
      <c r="I167" s="11" t="s"/>
      <c r="J167" s="209">
        <v>46121</v>
      </c>
      <c r="K167" s="7" t="s">
        <v>565</v>
      </c>
      <c r="L167" s="7" t="s">
        <v>129</v>
      </c>
      <c r="M167" s="287" t="s"/>
      <c r="N167" s="300" t="s">
        <v>1608</v>
      </c>
      <c r="O167" s="301" t="s"/>
      <c r="P167" s="300" t="s">
        <f>=IF(K167&lt;&gt;"",IF(ISBLANK(M167),IF(TODAY()-J167&gt;14,"超时","未超时"),IF(M167-J167&gt;14,"超时","未超时")),"")</f>
        <v>1601</v>
      </c>
      <c r="Q167" s="7" t="s"/>
      <c r="R167" s="290" t="s"/>
      <c r="S167" s="7" t="s"/>
      <c r="T167" s="7" t="s"/>
      <c r="U167" s="7" t="s"/>
      <c r="V167" s="7" t="s"/>
      <c r="W167" s="7" t="s"/>
      <c r="X167" s="7" t="s"/>
      <c r="Y167" s="290" t="s"/>
    </row>
    <row r="168" spans="1:25">
      <c r="A168" s="278">
        <v>167</v>
      </c>
      <c r="B168" s="279">
        <f>=_xlfn.XLOOKUP(C168,总表!B:B,总表!A:A,无,0)</f>
        <v>435</v>
      </c>
      <c r="C168" s="165" t="s">
        <v>487</v>
      </c>
      <c r="D168" s="281" t="s">
        <f>=_xlfn.XLOOKUP(C168,总表!B:B,总表!J:J,无0)</f>
        <v>12</v>
      </c>
      <c r="E168" s="282">
        <f>=_xlfn.XLOOKUP(C168,总表!B:B,总表!L:L,无,0)</f>
        <v>46120</v>
      </c>
      <c r="F168" s="283" t="s">
        <f>=_xlfn.XLOOKUP(C168,总表!B:B,总表!M:M,无,0)</f>
        <v>1520</v>
      </c>
      <c r="G168" s="209">
        <f>=_xlfn.XLOOKUP(C168,总表!B:B,总表!C:C,无,0)</f>
        <v>46120.5716087962</v>
      </c>
      <c r="H168" s="7" t="s">
        <f>=_xlfn.XLOOKUP(C168,总表!B:B,总表!F:F,无,0)</f>
        <v>239</v>
      </c>
      <c r="I168" s="11" t="s"/>
      <c r="J168" s="209">
        <v>46121</v>
      </c>
      <c r="K168" s="7" t="s">
        <v>565</v>
      </c>
      <c r="L168" s="7" t="s">
        <v>35</v>
      </c>
      <c r="M168" s="287" t="s"/>
      <c r="N168" s="300" t="s">
        <v>1608</v>
      </c>
      <c r="O168" s="301" t="s"/>
      <c r="P168" s="300" t="s">
        <f>=IF(K168&lt;&gt;"",IF(ISBLANK(M168),IF(TODAY()-J168&gt;14,"超时","未超时"),IF(M168-J168&gt;14,"超时","未超时")),"")</f>
        <v>1601</v>
      </c>
      <c r="Q168" s="7" t="s"/>
      <c r="R168" s="290" t="s"/>
      <c r="S168" s="7" t="s"/>
      <c r="T168" s="7" t="s"/>
      <c r="U168" s="7" t="s"/>
      <c r="V168" s="7" t="s"/>
      <c r="W168" s="7" t="s"/>
      <c r="X168" s="7" t="s"/>
      <c r="Y168" s="290" t="s"/>
    </row>
    <row r="169" spans="1:25">
      <c r="A169" s="278">
        <v>168</v>
      </c>
      <c r="B169" s="279">
        <f>=_xlfn.XLOOKUP(C169,总表!B:B,总表!A:A,无,0)</f>
        <v>441</v>
      </c>
      <c r="C169" s="165" t="s">
        <v>1530</v>
      </c>
      <c r="D169" s="281" t="s">
        <f>=_xlfn.XLOOKUP(C169,总表!B:B,总表!J:J,无0)</f>
        <v>12</v>
      </c>
      <c r="E169" s="282">
        <f>=_xlfn.XLOOKUP(C169,总表!B:B,总表!L:L,无,0)</f>
        <v>0</v>
      </c>
      <c r="F169" s="283">
        <f>=_xlfn.XLOOKUP(C169,总表!B:B,总表!M:M,无,0)</f>
        <v>0</v>
      </c>
      <c r="G169" s="209">
        <f>=_xlfn.XLOOKUP(C169,总表!B:B,总表!C:C,无,0)</f>
        <v>46112.6835416667</v>
      </c>
      <c r="H169" s="7" t="s">
        <f>=_xlfn.XLOOKUP(C169,总表!B:B,总表!F:F,无,0)</f>
        <v>228</v>
      </c>
      <c r="I169" s="11" t="s"/>
      <c r="J169" s="209" t="s"/>
      <c r="K169" s="7" t="s"/>
      <c r="L169" s="7" t="s"/>
      <c r="M169" s="287" t="s"/>
      <c r="N169" s="300" t="s"/>
      <c r="O169" s="301" t="s"/>
      <c r="P169" s="300" t="s">
        <f>=IF(K169&lt;&gt;"",IF(ISBLANK(M169),IF(TODAY()-J169&gt;14,"超时","未超时"),IF(M169-J169&gt;14,"超时","未超时")),"")</f>
      </c>
      <c r="Q169" s="7" t="s"/>
      <c r="R169" s="290" t="s"/>
      <c r="S169" s="7" t="s"/>
      <c r="T169" s="7" t="s"/>
      <c r="U169" s="7" t="s"/>
      <c r="V169" s="7" t="s"/>
      <c r="W169" s="7" t="s"/>
      <c r="X169" s="7" t="s"/>
      <c r="Y169" s="290" t="s"/>
    </row>
    <row r="170" spans="1:25">
      <c r="A170" s="278">
        <v>169</v>
      </c>
      <c r="B170" s="279">
        <f>=_xlfn.XLOOKUP(C170,总表!B:B,总表!A:A,无,0)</f>
        <v>442</v>
      </c>
      <c r="C170" s="396" t="s">
        <v>1532</v>
      </c>
      <c r="D170" s="281" t="s">
        <f>=_xlfn.XLOOKUP(C170,总表!B:B,总表!J:J,无0)</f>
        <v>12</v>
      </c>
      <c r="E170" s="282">
        <f>=_xlfn.XLOOKUP(C170,总表!B:B,总表!L:L,无,0)</f>
        <v>46122</v>
      </c>
      <c r="F170" s="283" t="s">
        <f>=_xlfn.XLOOKUP(C170,总表!B:B,总表!M:M,无,0)</f>
        <v>1534</v>
      </c>
      <c r="G170" s="209">
        <f>=_xlfn.XLOOKUP(C170,总表!B:B,总表!C:C,无,0)</f>
        <v>46121.5981828704</v>
      </c>
      <c r="H170" s="7" t="s">
        <f>=_xlfn.XLOOKUP(C170,总表!B:B,总表!F:F,无,0)</f>
        <v>239</v>
      </c>
      <c r="I170" s="11" t="s"/>
      <c r="J170" s="209">
        <v>46122</v>
      </c>
      <c r="K170" s="7" t="s">
        <v>565</v>
      </c>
      <c r="L170" s="7" t="s">
        <v>35</v>
      </c>
      <c r="M170" s="287" t="s"/>
      <c r="N170" s="300" t="s">
        <v>1608</v>
      </c>
      <c r="O170" s="301" t="s"/>
      <c r="P170" s="300" t="s">
        <f>=IF(K170&lt;&gt;"",IF(ISBLANK(M170),IF(TODAY()-J170&gt;14,"超时","未超时"),IF(M170-J170&gt;14,"超时","未超时")),"")</f>
        <v>1601</v>
      </c>
      <c r="Q170" s="7" t="s"/>
      <c r="R170" s="290" t="s"/>
      <c r="S170" s="7" t="s"/>
      <c r="T170" s="7" t="s"/>
      <c r="U170" s="7" t="s"/>
      <c r="V170" s="7" t="s"/>
      <c r="W170" s="7" t="s"/>
      <c r="X170" s="7" t="s"/>
      <c r="Y170" s="290" t="s"/>
    </row>
    <row r="171" spans="1:25">
      <c r="A171" s="278">
        <v>170</v>
      </c>
      <c r="B171" s="279">
        <f>=_xlfn.XLOOKUP(C171,总表!B:B,总表!A:A,无,0)</f>
        <v>444</v>
      </c>
      <c r="C171" s="165" t="s">
        <v>500</v>
      </c>
      <c r="D171" s="281" t="s">
        <f>=_xlfn.XLOOKUP(C171,总表!B:B,总表!J:J,无0)</f>
        <v>12</v>
      </c>
      <c r="E171" s="282">
        <f>=_xlfn.XLOOKUP(C171,总表!B:B,总表!L:L,无,0)</f>
        <v>46122</v>
      </c>
      <c r="F171" s="283" t="s">
        <f>=_xlfn.XLOOKUP(C171,总表!B:B,总表!M:M,无,0)</f>
        <v>610</v>
      </c>
      <c r="G171" s="209">
        <f>=_xlfn.XLOOKUP(C171,总表!B:B,总表!C:C,无,0)</f>
        <v>46121.7019791667</v>
      </c>
      <c r="H171" s="7" t="s">
        <f>=_xlfn.XLOOKUP(C171,总表!B:B,总表!F:F,无,0)</f>
        <v>239</v>
      </c>
      <c r="I171" s="274" t="s">
        <v>1660</v>
      </c>
      <c r="J171" s="209">
        <v>46125</v>
      </c>
      <c r="K171" s="7" t="s">
        <v>565</v>
      </c>
      <c r="L171" s="7" t="s">
        <v>26</v>
      </c>
      <c r="M171" s="287" t="s"/>
      <c r="N171" s="300" t="s">
        <v>1608</v>
      </c>
      <c r="O171" s="301" t="s"/>
      <c r="P171" s="300" t="s">
        <f>=IF(K171&lt;&gt;"",IF(ISBLANK(M171),IF(TODAY()-J171&gt;14,"超时","未超时"),IF(M171-J171&gt;14,"超时","未超时")),"")</f>
        <v>1601</v>
      </c>
      <c r="Q171" s="7" t="s"/>
      <c r="R171" s="290" t="s"/>
      <c r="S171" s="7" t="s"/>
      <c r="T171" s="7" t="s"/>
      <c r="U171" s="7" t="s"/>
      <c r="V171" s="7" t="s"/>
      <c r="W171" s="7" t="s"/>
      <c r="X171" s="7" t="s"/>
      <c r="Y171" s="290" t="s"/>
    </row>
    <row r="172" spans="1:25">
      <c r="A172" s="278">
        <v>171</v>
      </c>
      <c r="B172" s="279">
        <f>=_xlfn.XLOOKUP(C172,总表!B:B,总表!A:A,无,0)</f>
        <v>445</v>
      </c>
      <c r="C172" s="165" t="s">
        <v>1537</v>
      </c>
      <c r="D172" s="281" t="s">
        <f>=_xlfn.XLOOKUP(C172,总表!B:B,总表!J:J,无0)</f>
        <v>15</v>
      </c>
      <c r="E172" s="282">
        <f>=_xlfn.XLOOKUP(C172,总表!B:B,总表!L:L,无,0)</f>
        <v>46126</v>
      </c>
      <c r="F172" s="283" t="s">
        <f>=_xlfn.XLOOKUP(C172,总表!B:B,总表!M:M,无,0)</f>
        <v>610</v>
      </c>
      <c r="G172" s="209">
        <f>=_xlfn.XLOOKUP(C172,总表!B:B,总表!C:C,无,0)</f>
        <v>46121.7541203704</v>
      </c>
      <c r="H172" s="7" t="s">
        <f>=_xlfn.XLOOKUP(C172,总表!B:B,总表!F:F,无,0)</f>
        <v>277</v>
      </c>
      <c r="I172" s="11" t="s"/>
      <c r="J172" s="209">
        <v>46126</v>
      </c>
      <c r="K172" s="7" t="s">
        <v>1654</v>
      </c>
      <c r="L172" s="7" t="s"/>
      <c r="M172" s="287" t="s"/>
      <c r="N172" s="300" t="s">
        <v>1608</v>
      </c>
      <c r="O172" s="301" t="s"/>
      <c r="P172" s="300" t="s">
        <f>=IF(K172&lt;&gt;"",IF(ISBLANK(M172),IF(TODAY()-J172&gt;14,"超时","未超时"),IF(M172-J172&gt;14,"超时","未超时")),"")</f>
        <v>1601</v>
      </c>
      <c r="Q172" s="7" t="s"/>
      <c r="R172" s="290" t="s"/>
      <c r="S172" s="7" t="s"/>
      <c r="T172" s="7" t="s"/>
      <c r="U172" s="7" t="s"/>
      <c r="V172" s="7" t="s"/>
      <c r="W172" s="7" t="s"/>
      <c r="X172" s="7" t="s"/>
      <c r="Y172" s="290" t="s"/>
    </row>
    <row r="173" spans="1:25">
      <c r="A173" s="278">
        <v>172</v>
      </c>
      <c r="B173" s="279">
        <f>=_xlfn.XLOOKUP(C173,总表!B:B,总表!A:A,无,0)</f>
        <v>447</v>
      </c>
      <c r="C173" s="165" t="s">
        <v>1542</v>
      </c>
      <c r="D173" s="281" t="s">
        <f>=_xlfn.XLOOKUP(C173,总表!B:B,总表!J:J,无0)</f>
        <v>12</v>
      </c>
      <c r="E173" s="282">
        <f>=_xlfn.XLOOKUP(C173,总表!B:B,总表!L:L,无,0)</f>
        <v>0</v>
      </c>
      <c r="F173" s="283">
        <f>=_xlfn.XLOOKUP(C173,总表!B:B,总表!M:M,无,0)</f>
        <v>0</v>
      </c>
      <c r="G173" s="209">
        <f>=_xlfn.XLOOKUP(C173,总表!B:B,总表!C:C,无,0)</f>
        <v>46122.4079166667</v>
      </c>
      <c r="H173" s="7" t="s">
        <f>=_xlfn.XLOOKUP(C173,总表!B:B,总表!F:F,无,0)</f>
        <v>245</v>
      </c>
      <c r="I173" s="11" t="s"/>
      <c r="J173" s="209" t="s"/>
      <c r="K173" s="7" t="s"/>
      <c r="L173" s="7" t="s"/>
      <c r="M173" s="287" t="s"/>
      <c r="N173" s="300" t="s"/>
      <c r="O173" s="301" t="s"/>
      <c r="P173" s="300" t="s">
        <f>=IF(K173&lt;&gt;"",IF(ISBLANK(M173),IF(TODAY()-J173&gt;14,"超时","未超时"),IF(M173-J173&gt;14,"超时","未超时")),"")</f>
      </c>
      <c r="Q173" s="7" t="s"/>
      <c r="R173" s="290" t="s"/>
      <c r="S173" s="7" t="s"/>
      <c r="T173" s="7" t="s"/>
      <c r="U173" s="7" t="s"/>
      <c r="V173" s="7" t="s"/>
      <c r="W173" s="7" t="s"/>
      <c r="X173" s="7" t="s"/>
      <c r="Y173" s="290" t="s"/>
    </row>
    <row r="174" spans="1:25">
      <c r="A174" s="278">
        <v>173</v>
      </c>
      <c r="B174" s="279">
        <f>=_xlfn.XLOOKUP(C174,总表!B:B,总表!A:A,无,0)</f>
        <v>449</v>
      </c>
      <c r="C174" s="397" t="s">
        <v>517</v>
      </c>
      <c r="D174" s="281" t="s">
        <f>=_xlfn.XLOOKUP(C174,总表!B:B,总表!J:J,无0)</f>
        <v>12</v>
      </c>
      <c r="E174" s="282">
        <f>=_xlfn.XLOOKUP(C174,总表!B:B,总表!L:L,无,0)</f>
        <v>46126</v>
      </c>
      <c r="F174" s="283" t="s">
        <f>=_xlfn.XLOOKUP(C174,总表!B:B,总表!M:M,无,0)</f>
        <v>1547</v>
      </c>
      <c r="G174" s="209">
        <f>=_xlfn.XLOOKUP(C174,总表!B:B,总表!C:C,无,0)</f>
        <v>46122.7237152778</v>
      </c>
      <c r="H174" s="7" t="s">
        <f>=_xlfn.XLOOKUP(C174,总表!B:B,总表!F:F,无,0)</f>
        <v>245</v>
      </c>
      <c r="I174" s="11" t="s"/>
      <c r="J174" s="209">
        <v>46126</v>
      </c>
      <c r="K174" s="7" t="s">
        <v>565</v>
      </c>
      <c r="L174" s="7" t="s">
        <v>18</v>
      </c>
      <c r="M174" s="287" t="s"/>
      <c r="N174" s="300" t="s">
        <v>1608</v>
      </c>
      <c r="O174" s="301" t="s"/>
      <c r="P174" s="300" t="s">
        <f>=IF(K174&lt;&gt;"",IF(ISBLANK(M174),IF(TODAY()-J174&gt;14,"超时","未超时"),IF(M174-J174&gt;14,"超时","未超时")),"")</f>
        <v>1601</v>
      </c>
      <c r="Q174" s="7" t="s"/>
      <c r="R174" s="290" t="s"/>
      <c r="S174" s="7" t="s"/>
      <c r="T174" s="7" t="s"/>
      <c r="U174" s="7" t="s"/>
      <c r="V174" s="7" t="s"/>
      <c r="W174" s="7" t="s"/>
      <c r="X174" s="7" t="s"/>
      <c r="Y174" s="290" t="s"/>
    </row>
    <row r="175" spans="1:25">
      <c r="A175" s="278">
        <v>174</v>
      </c>
      <c r="B175" s="279">
        <f>=_xlfn.XLOOKUP(C175,总表!B:B,总表!A:A,无,0)</f>
        <v>454</v>
      </c>
      <c r="C175" s="398" t="s">
        <v>1554</v>
      </c>
      <c r="D175" s="281" t="s">
        <f>=_xlfn.XLOOKUP(C175,总表!B:B,总表!J:J,无0)</f>
        <v>12</v>
      </c>
      <c r="E175" s="282">
        <f>=_xlfn.XLOOKUP(C175,总表!B:B,总表!L:L,无,0)</f>
        <v>0</v>
      </c>
      <c r="F175" s="283">
        <f>=_xlfn.XLOOKUP(C175,总表!B:B,总表!M:M,无,0)</f>
        <v>0</v>
      </c>
      <c r="G175" s="209">
        <f>=_xlfn.XLOOKUP(C175,总表!B:B,总表!C:C,无,0)</f>
        <v>46123.5493402778</v>
      </c>
      <c r="H175" s="7" t="s">
        <f>=_xlfn.XLOOKUP(C175,总表!B:B,总表!F:F,无,0)</f>
        <v>245</v>
      </c>
      <c r="I175" s="11" t="s"/>
      <c r="J175" s="209" t="s"/>
      <c r="K175" s="7" t="s"/>
      <c r="L175" s="7" t="s"/>
      <c r="M175" s="287" t="s"/>
      <c r="N175" s="300" t="s"/>
      <c r="O175" s="301" t="s"/>
      <c r="P175" s="300" t="s">
        <f>=IF(K175&lt;&gt;"",IF(ISBLANK(M175),IF(TODAY()-J175&gt;14,"超时","未超时"),IF(M175-J175&gt;14,"超时","未超时")),"")</f>
      </c>
      <c r="Q175" s="7" t="s"/>
      <c r="R175" s="290" t="s"/>
      <c r="S175" s="7" t="s"/>
      <c r="T175" s="7" t="s"/>
      <c r="U175" s="7" t="s"/>
      <c r="V175" s="7" t="s"/>
      <c r="W175" s="7" t="s"/>
      <c r="X175" s="7" t="s"/>
      <c r="Y175" s="290" t="s"/>
    </row>
    <row r="176" spans="1:25">
      <c r="A176" s="278">
        <v>175</v>
      </c>
      <c r="B176" s="279">
        <f>=_xlfn.XLOOKUP(C176,总表!B:B,总表!A:A,无,0)</f>
        <v>455</v>
      </c>
      <c r="C176" s="398" t="s">
        <v>509</v>
      </c>
      <c r="D176" s="281" t="s">
        <f>=_xlfn.XLOOKUP(C176,总表!B:B,总表!J:J,无0)</f>
        <v>12</v>
      </c>
      <c r="E176" s="282">
        <f>=_xlfn.XLOOKUP(C176,总表!B:B,总表!L:L,无,0)</f>
        <v>0</v>
      </c>
      <c r="F176" s="283">
        <f>=_xlfn.XLOOKUP(C176,总表!B:B,总表!M:M,无,0)</f>
        <v>0</v>
      </c>
      <c r="G176" s="209">
        <f>=_xlfn.XLOOKUP(C176,总表!B:B,总表!C:C,无,0)</f>
        <v>46122.828287037</v>
      </c>
      <c r="H176" s="7" t="s">
        <f>=_xlfn.XLOOKUP(C176,总表!B:B,总表!F:F,无,0)</f>
        <v>242</v>
      </c>
      <c r="I176" s="11" t="s"/>
      <c r="J176" s="209" t="s"/>
      <c r="K176" s="7" t="s"/>
      <c r="L176" s="7" t="s"/>
      <c r="M176" s="287" t="s"/>
      <c r="N176" s="300" t="s"/>
      <c r="O176" s="301" t="s"/>
      <c r="P176" s="300" t="s">
        <f>=IF(K176&lt;&gt;"",IF(ISBLANK(M176),IF(TODAY()-J176&gt;14,"超时","未超时"),IF(M176-J176&gt;14,"超时","未超时")),"")</f>
      </c>
      <c r="Q176" s="7" t="s"/>
      <c r="R176" s="290" t="s"/>
      <c r="S176" s="7" t="s"/>
      <c r="T176" s="7" t="s"/>
      <c r="U176" s="7" t="s"/>
      <c r="V176" s="7" t="s"/>
      <c r="W176" s="7" t="s"/>
      <c r="X176" s="7" t="s"/>
      <c r="Y176" s="290" t="s"/>
    </row>
    <row r="177" spans="1:25">
      <c r="A177" s="278">
        <v>176</v>
      </c>
      <c r="B177" s="279">
        <f>=_xlfn.XLOOKUP(C177,总表!B:B,总表!A:A,无,0)</f>
        <v>456</v>
      </c>
      <c r="C177" s="398" t="s">
        <v>1557</v>
      </c>
      <c r="D177" s="281" t="s">
        <f>=_xlfn.XLOOKUP(C177,总表!B:B,总表!J:J,无0)</f>
        <v>12</v>
      </c>
      <c r="E177" s="282">
        <f>=_xlfn.XLOOKUP(C177,总表!B:B,总表!L:L,无,0)</f>
        <v>0</v>
      </c>
      <c r="F177" s="283">
        <f>=_xlfn.XLOOKUP(C177,总表!B:B,总表!M:M,无,0)</f>
        <v>0</v>
      </c>
      <c r="G177" s="209">
        <f>=_xlfn.XLOOKUP(C177,总表!B:B,总表!C:C,无,0)</f>
        <v>46123.3910300926</v>
      </c>
      <c r="H177" s="7" t="s">
        <f>=_xlfn.XLOOKUP(C177,总表!B:B,总表!F:F,无,0)</f>
        <v>239</v>
      </c>
      <c r="I177" s="11" t="s"/>
      <c r="J177" s="209" t="s"/>
      <c r="K177" s="7" t="s"/>
      <c r="L177" s="7" t="s"/>
      <c r="M177" s="287" t="s"/>
      <c r="N177" s="300" t="s"/>
      <c r="O177" s="301" t="s"/>
      <c r="P177" s="300" t="s">
        <f>=IF(K177&lt;&gt;"",IF(ISBLANK(M177),IF(TODAY()-J177&gt;14,"超时","未超时"),IF(M177-J177&gt;14,"超时","未超时")),"")</f>
      </c>
      <c r="Q177" s="7" t="s"/>
      <c r="R177" s="290" t="s"/>
      <c r="S177" s="7" t="s"/>
      <c r="T177" s="7" t="s"/>
      <c r="U177" s="7" t="s"/>
      <c r="V177" s="7" t="s"/>
      <c r="W177" s="7" t="s"/>
      <c r="X177" s="7" t="s"/>
      <c r="Y177" s="290" t="s"/>
    </row>
    <row r="178" spans="1:25">
      <c r="A178" s="278">
        <v>177</v>
      </c>
      <c r="B178" s="279">
        <f>=_xlfn.XLOOKUP(C178,总表!B:B,总表!A:A,无,0)</f>
        <v>457</v>
      </c>
      <c r="C178" s="398" t="s">
        <v>1559</v>
      </c>
      <c r="D178" s="281" t="s">
        <f>=_xlfn.XLOOKUP(C178,总表!B:B,总表!J:J,无0)</f>
        <v>15</v>
      </c>
      <c r="E178" s="282">
        <f>=_xlfn.XLOOKUP(C178,总表!B:B,总表!L:L,无,0)</f>
        <v>0</v>
      </c>
      <c r="F178" s="283">
        <f>=_xlfn.XLOOKUP(C178,总表!B:B,总表!M:M,无,0)</f>
        <v>0</v>
      </c>
      <c r="G178" s="209">
        <f>=_xlfn.XLOOKUP(C178,总表!B:B,总表!C:C,无,0)</f>
        <v>46122.7699305556</v>
      </c>
      <c r="H178" s="7" t="s">
        <f>=_xlfn.XLOOKUP(C178,总表!B:B,总表!F:F,无,0)</f>
        <v>245</v>
      </c>
      <c r="I178" s="11" t="s"/>
      <c r="J178" s="209" t="s"/>
      <c r="K178" s="7" t="s"/>
      <c r="L178" s="7" t="s"/>
      <c r="M178" s="287" t="s"/>
      <c r="N178" s="300" t="s"/>
      <c r="O178" s="301" t="s"/>
      <c r="P178" s="300" t="s">
        <f>=IF(K178&lt;&gt;"",IF(ISBLANK(M178),IF(TODAY()-J178&gt;14,"超时","未超时"),IF(M178-J178&gt;14,"超时","未超时")),"")</f>
      </c>
      <c r="Q178" s="7" t="s"/>
      <c r="R178" s="290" t="s"/>
      <c r="S178" s="7" t="s"/>
      <c r="T178" s="7" t="s"/>
      <c r="U178" s="7" t="s"/>
      <c r="V178" s="7" t="s"/>
      <c r="W178" s="7" t="s"/>
      <c r="X178" s="7" t="s"/>
      <c r="Y178" s="290" t="s"/>
    </row>
    <row r="179" spans="1:25">
      <c r="A179" s="278">
        <v>178</v>
      </c>
      <c r="B179" s="279">
        <f>=_xlfn.XLOOKUP(C179,总表!B:B,总表!A:A,无,0)</f>
        <v>458</v>
      </c>
      <c r="C179" s="399" t="s">
        <v>507</v>
      </c>
      <c r="D179" s="281" t="s">
        <f>=_xlfn.XLOOKUP(C179,总表!B:B,总表!J:J,无0)</f>
        <v>12</v>
      </c>
      <c r="E179" s="282">
        <f>=_xlfn.XLOOKUP(C179,总表!B:B,总表!L:L,无,0)</f>
        <v>0</v>
      </c>
      <c r="F179" s="283">
        <f>=_xlfn.XLOOKUP(C179,总表!B:B,总表!M:M,无,0)</f>
        <v>0</v>
      </c>
      <c r="G179" s="209">
        <f>=_xlfn.XLOOKUP(C179,总表!B:B,总表!C:C,无,0)</f>
        <v>46123.4375578704</v>
      </c>
      <c r="H179" s="7" t="s">
        <f>=_xlfn.XLOOKUP(C179,总表!B:B,总表!F:F,无,0)</f>
        <v>242</v>
      </c>
      <c r="I179" s="11" t="s"/>
      <c r="J179" s="209" t="s"/>
      <c r="K179" s="7" t="s"/>
      <c r="L179" s="7" t="s"/>
      <c r="M179" s="287" t="s"/>
      <c r="N179" s="300" t="s"/>
      <c r="O179" s="301" t="s"/>
      <c r="P179" s="300" t="s">
        <f>=IF(K179&lt;&gt;"",IF(ISBLANK(M179),IF(TODAY()-J179&gt;14,"超时","未超时"),IF(M179-J179&gt;14,"超时","未超时")),"")</f>
      </c>
      <c r="Q179" s="7" t="s"/>
      <c r="R179" s="290" t="s"/>
      <c r="S179" s="7" t="s"/>
      <c r="T179" s="7" t="s"/>
      <c r="U179" s="7" t="s"/>
      <c r="V179" s="7" t="s"/>
      <c r="W179" s="7" t="s"/>
      <c r="X179" s="7" t="s"/>
      <c r="Y179" s="290" t="s"/>
    </row>
    <row r="180" spans="1:25">
      <c r="A180" s="278">
        <v>179</v>
      </c>
      <c r="B180" s="279">
        <f>=_xlfn.XLOOKUP(C180,总表!B:B,总表!A:A,无,0)</f>
        <v>459</v>
      </c>
      <c r="C180" s="165" t="s">
        <v>505</v>
      </c>
      <c r="D180" s="281" t="s">
        <f>=_xlfn.XLOOKUP(C180,总表!B:B,总表!J:J,无0)</f>
        <v>12</v>
      </c>
      <c r="E180" s="400">
        <f>=_xlfn.XLOOKUP(C180,总表!B:B,总表!L:L,无,0)</f>
        <v>46125</v>
      </c>
      <c r="F180" s="283" t="s">
        <f>=_xlfn.XLOOKUP(C180,总表!B:B,总表!M:M,无,0)</f>
        <v>1563</v>
      </c>
      <c r="G180" s="209">
        <f>=_xlfn.XLOOKUP(C180,总表!B:B,总表!C:C,无,0)</f>
        <v>46125.4193055556</v>
      </c>
      <c r="H180" s="7" t="s">
        <f>=_xlfn.XLOOKUP(C180,总表!B:B,总表!F:F,无,0)</f>
        <v>242</v>
      </c>
      <c r="I180" s="11" t="s"/>
      <c r="J180" s="209">
        <v>46125</v>
      </c>
      <c r="K180" s="7" t="s">
        <v>565</v>
      </c>
      <c r="L180" s="7" t="s">
        <v>26</v>
      </c>
      <c r="M180" s="287" t="s"/>
      <c r="N180" s="300" t="s">
        <v>1608</v>
      </c>
      <c r="O180" s="301" t="s"/>
      <c r="P180" s="300" t="s">
        <f>=IF(K180&lt;&gt;"",IF(ISBLANK(M180),IF(TODAY()-J180&gt;14,"超时","未超时"),IF(M180-J180&gt;14,"超时","未超时")),"")</f>
        <v>1601</v>
      </c>
      <c r="Q180" s="7" t="s"/>
      <c r="R180" s="290" t="s"/>
      <c r="S180" s="7" t="s"/>
      <c r="T180" s="7" t="s"/>
      <c r="U180" s="7" t="s"/>
      <c r="V180" s="7" t="s"/>
      <c r="W180" s="7" t="s"/>
      <c r="X180" s="7" t="s"/>
      <c r="Y180" s="290" t="s"/>
    </row>
    <row r="181" spans="1:25">
      <c r="A181" s="278">
        <v>180</v>
      </c>
      <c r="B181" s="279">
        <f>=_xlfn.XLOOKUP(C181,总表!B:B,总表!A:A,无,0)</f>
        <v>460</v>
      </c>
      <c r="C181" s="399" t="s">
        <v>1564</v>
      </c>
      <c r="D181" s="281" t="s">
        <f>=_xlfn.XLOOKUP(C181,总表!B:B,总表!J:J,无0)</f>
        <v>12</v>
      </c>
      <c r="E181" s="282">
        <f>=_xlfn.XLOOKUP(C181,总表!B:B,总表!L:L,无,0)</f>
        <v>0</v>
      </c>
      <c r="F181" s="283">
        <f>=_xlfn.XLOOKUP(C181,总表!B:B,总表!M:M,无,0)</f>
        <v>0</v>
      </c>
      <c r="G181" s="209">
        <f>=_xlfn.XLOOKUP(C181,总表!B:B,总表!C:C,无,0)</f>
        <v>46125.4712847222</v>
      </c>
      <c r="H181" s="7" t="s">
        <f>=_xlfn.XLOOKUP(C181,总表!B:B,总表!F:F,无,0)</f>
        <v>638</v>
      </c>
      <c r="I181" s="11" t="s"/>
      <c r="J181" s="209" t="s"/>
      <c r="K181" s="7" t="s"/>
      <c r="L181" s="7" t="s"/>
      <c r="M181" s="287" t="s"/>
      <c r="N181" s="300" t="s"/>
      <c r="O181" s="301" t="s"/>
      <c r="P181" s="300" t="s">
        <f>=IF(K181&lt;&gt;"",IF(ISBLANK(M181),IF(TODAY()-J181&gt;14,"超时","未超时"),IF(M181-J181&gt;14,"超时","未超时")),"")</f>
      </c>
      <c r="Q181" s="7" t="s"/>
      <c r="R181" s="290" t="s"/>
      <c r="S181" s="7" t="s"/>
      <c r="T181" s="7" t="s"/>
      <c r="U181" s="7" t="s"/>
      <c r="V181" s="7" t="s"/>
      <c r="W181" s="7" t="s"/>
      <c r="X181" s="7" t="s"/>
      <c r="Y181" s="290" t="s"/>
    </row>
    <row r="182" spans="1:25">
      <c r="A182" s="278">
        <v>181</v>
      </c>
      <c r="B182" s="279">
        <f>=_xlfn.XLOOKUP(C182,总表!B:B,总表!A:A,无,0)</f>
        <v>462</v>
      </c>
      <c r="C182" s="399" t="s">
        <v>1566</v>
      </c>
      <c r="D182" s="281" t="s">
        <f>=_xlfn.XLOOKUP(C182,总表!B:B,总表!J:J,无0)</f>
        <v>12</v>
      </c>
      <c r="E182" s="282">
        <f>=_xlfn.XLOOKUP(C182,总表!B:B,总表!L:L,无,0)</f>
        <v>0</v>
      </c>
      <c r="F182" s="283">
        <f>=_xlfn.XLOOKUP(C182,总表!B:B,总表!M:M,无,0)</f>
        <v>0</v>
      </c>
      <c r="G182" s="209">
        <f>=_xlfn.XLOOKUP(C182,总表!B:B,总表!C:C,无,0)</f>
        <v>46125.4704282408</v>
      </c>
      <c r="H182" s="7" t="s">
        <f>=_xlfn.XLOOKUP(C182,总表!B:B,总表!F:F,无,0)</f>
        <v>245</v>
      </c>
      <c r="I182" s="11" t="s"/>
      <c r="J182" s="209" t="s"/>
      <c r="K182" s="7" t="s"/>
      <c r="L182" s="7" t="s"/>
      <c r="M182" s="287" t="s"/>
      <c r="N182" s="300" t="s"/>
      <c r="O182" s="301" t="s"/>
      <c r="P182" s="300" t="s">
        <f>=IF(K182&lt;&gt;"",IF(ISBLANK(M182),IF(TODAY()-J182&gt;14,"超时","未超时"),IF(M182-J182&gt;14,"超时","未超时")),"")</f>
      </c>
      <c r="Q182" s="7" t="s"/>
      <c r="R182" s="290" t="s"/>
      <c r="S182" s="7" t="s"/>
      <c r="T182" s="7" t="s"/>
      <c r="U182" s="7" t="s"/>
      <c r="V182" s="7" t="s"/>
      <c r="W182" s="7" t="s"/>
      <c r="X182" s="7" t="s"/>
      <c r="Y182" s="290" t="s"/>
    </row>
    <row r="183" spans="1:25">
      <c r="A183" s="278">
        <v>182</v>
      </c>
      <c r="B183" s="279">
        <f>=_xlfn.XLOOKUP(C183,总表!B:B,总表!A:A,无,0)</f>
        <v>464</v>
      </c>
      <c r="C183" s="165" t="s">
        <v>1570</v>
      </c>
      <c r="D183" s="281" t="s">
        <f>=_xlfn.XLOOKUP(C183,总表!B:B,总表!J:J,无0)</f>
        <v>12</v>
      </c>
      <c r="E183" s="282">
        <f>=_xlfn.XLOOKUP(C183,总表!B:B,总表!L:L,无,0)</f>
        <v>46126</v>
      </c>
      <c r="F183" s="283" t="s">
        <f>=_xlfn.XLOOKUP(C183,总表!B:B,总表!M:M,无,0)</f>
        <v>1572</v>
      </c>
      <c r="G183" s="209">
        <f>=_xlfn.XLOOKUP(C183,总表!B:B,总表!C:C,无,0)</f>
        <v>46125.618275463</v>
      </c>
      <c r="H183" s="7" t="s">
        <f>=_xlfn.XLOOKUP(C183,总表!B:B,总表!F:F,无,0)</f>
        <v>638</v>
      </c>
      <c r="I183" s="11" t="s"/>
      <c r="J183" s="209">
        <v>46126</v>
      </c>
      <c r="K183" s="7" t="s">
        <v>565</v>
      </c>
      <c r="L183" s="7" t="s">
        <v>26</v>
      </c>
      <c r="M183" s="287" t="s"/>
      <c r="N183" s="300" t="s">
        <v>1608</v>
      </c>
      <c r="O183" s="301" t="s"/>
      <c r="P183" s="300" t="s">
        <f>=IF(K183&lt;&gt;"",IF(ISBLANK(M183),IF(TODAY()-J183&gt;14,"超时","未超时"),IF(M183-J183&gt;14,"超时","未超时")),"")</f>
        <v>1601</v>
      </c>
      <c r="Q183" s="7" t="s"/>
      <c r="R183" s="290" t="s"/>
      <c r="S183" s="7" t="s"/>
      <c r="T183" s="7" t="s"/>
      <c r="U183" s="7" t="s"/>
      <c r="V183" s="7" t="s"/>
      <c r="W183" s="7" t="s"/>
      <c r="X183" s="7" t="s"/>
      <c r="Y183" s="290" t="s"/>
    </row>
    <row r="184" spans="1:25">
      <c r="A184" s="278">
        <v>183</v>
      </c>
      <c r="B184" s="279">
        <f>=_xlfn.XLOOKUP(C184,总表!B:B,总表!A:A,无,0)</f>
        <v>465</v>
      </c>
      <c r="C184" s="401" t="s">
        <v>1573</v>
      </c>
      <c r="D184" s="281" t="s">
        <f>=_xlfn.XLOOKUP(C184,总表!B:B,总表!J:J,无0)</f>
        <v>12</v>
      </c>
      <c r="E184" s="282">
        <f>=_xlfn.XLOOKUP(C184,总表!B:B,总表!L:L,无,0)</f>
        <v>46126</v>
      </c>
      <c r="F184" s="283" t="s">
        <f>=_xlfn.XLOOKUP(C184,总表!B:B,总表!M:M,无,0)</f>
        <v>953</v>
      </c>
      <c r="G184" s="209">
        <f>=_xlfn.XLOOKUP(C184,总表!B:B,总表!C:C,无,0)</f>
        <v>46125.6243634259</v>
      </c>
      <c r="H184" s="7" t="s">
        <f>=_xlfn.XLOOKUP(C184,总表!B:B,总表!F:F,无,0)</f>
        <v>277</v>
      </c>
      <c r="I184" s="11" t="s"/>
      <c r="J184" s="209">
        <v>46126</v>
      </c>
      <c r="K184" s="7" t="s">
        <v>565</v>
      </c>
      <c r="L184" s="7" t="s">
        <v>26</v>
      </c>
      <c r="M184" s="287" t="s"/>
      <c r="N184" s="300" t="s">
        <v>1608</v>
      </c>
      <c r="O184" s="301" t="s"/>
      <c r="P184" s="300" t="s">
        <f>=IF(K184&lt;&gt;"",IF(ISBLANK(M184),IF(TODAY()-J184&gt;14,"超时","未超时"),IF(M184-J184&gt;14,"超时","未超时")),"")</f>
        <v>1601</v>
      </c>
      <c r="Q184" s="7" t="s"/>
      <c r="R184" s="290" t="s"/>
      <c r="S184" s="7" t="s"/>
      <c r="T184" s="7" t="s"/>
      <c r="U184" s="7" t="s"/>
      <c r="V184" s="7" t="s"/>
      <c r="W184" s="7" t="s"/>
      <c r="X184" s="7" t="s"/>
      <c r="Y184" s="290" t="s"/>
    </row>
    <row r="185" spans="1:25">
      <c r="A185" s="278" t="s"/>
      <c r="B185" s="11" t="s"/>
      <c r="C185" s="7" t="s"/>
      <c r="D185" s="281" t="s"/>
      <c r="E185" s="282" t="s"/>
      <c r="F185" s="283" t="s"/>
      <c r="G185" s="209" t="s"/>
      <c r="H185" s="7" t="s"/>
      <c r="I185" s="11" t="s"/>
      <c r="J185" s="209" t="s"/>
      <c r="K185" s="7" t="s"/>
      <c r="L185" s="7" t="s"/>
      <c r="M185" s="287" t="s"/>
      <c r="N185" s="300" t="s"/>
      <c r="O185" s="301" t="s"/>
      <c r="P185" s="300" t="s">
        <f>=IF(K185&lt;&gt;"",IF(ISBLANK(M185),IF(TODAY()-J185&gt;14,"超时","未超时"),IF(M185-J185&gt;14,"超时","未超时")),"")</f>
      </c>
      <c r="Q185" s="7" t="s"/>
      <c r="R185" s="290" t="s"/>
      <c r="S185" s="7" t="s"/>
      <c r="T185" s="7" t="s"/>
      <c r="U185" s="7" t="s"/>
      <c r="V185" s="7" t="s"/>
      <c r="W185" s="7" t="s"/>
      <c r="X185" s="7" t="s"/>
      <c r="Y185" s="290" t="s"/>
    </row>
    <row r="186" spans="1:25">
      <c r="A186" s="278" t="s"/>
      <c r="B186" s="11" t="s"/>
      <c r="C186" s="7" t="s"/>
      <c r="D186" s="281" t="s"/>
      <c r="E186" s="282" t="s"/>
      <c r="F186" s="283" t="s"/>
      <c r="G186" s="209" t="s"/>
      <c r="H186" s="7" t="s"/>
      <c r="I186" s="11" t="s"/>
      <c r="J186" s="209" t="s"/>
      <c r="K186" s="7" t="s"/>
      <c r="L186" s="7" t="s"/>
      <c r="M186" s="287" t="s"/>
      <c r="N186" s="300" t="s"/>
      <c r="O186" s="301" t="s"/>
      <c r="P186" s="300" t="s">
        <f>=IF(K186&lt;&gt;"",IF(ISBLANK(M186),IF(TODAY()-J186&gt;14,"超时","未超时"),IF(M186-J186&gt;14,"超时","未超时")),"")</f>
      </c>
      <c r="Q186" s="7" t="s"/>
      <c r="R186" s="290" t="s"/>
      <c r="S186" s="7" t="s"/>
      <c r="T186" s="7" t="s"/>
      <c r="U186" s="7" t="s"/>
      <c r="V186" s="7" t="s"/>
      <c r="W186" s="7" t="s"/>
      <c r="X186" s="7" t="s"/>
      <c r="Y186" s="290" t="s"/>
    </row>
    <row r="187" spans="1:25">
      <c r="A187" s="278" t="s"/>
      <c r="B187" s="11" t="s"/>
      <c r="C187" s="7" t="s"/>
      <c r="D187" s="281" t="s"/>
      <c r="E187" s="282" t="s"/>
      <c r="F187" s="283" t="s"/>
      <c r="G187" s="209" t="s"/>
      <c r="H187" s="7" t="s"/>
      <c r="I187" s="11" t="s"/>
      <c r="J187" s="209" t="s"/>
      <c r="K187" s="7" t="s"/>
      <c r="L187" s="7" t="s"/>
      <c r="M187" s="287" t="s"/>
      <c r="N187" s="300" t="s"/>
      <c r="O187" s="301" t="s"/>
      <c r="P187" s="300" t="s">
        <f>=IF(K187&lt;&gt;"",IF(ISBLANK(M187),IF(TODAY()-J187&gt;14,"超时","未超时"),IF(M187-J187&gt;14,"超时","未超时")),"")</f>
      </c>
      <c r="Q187" s="7" t="s"/>
      <c r="R187" s="290" t="s"/>
      <c r="S187" s="7" t="s"/>
      <c r="T187" s="7" t="s"/>
      <c r="U187" s="7" t="s"/>
      <c r="V187" s="7" t="s"/>
      <c r="W187" s="7" t="s"/>
      <c r="X187" s="7" t="s"/>
      <c r="Y187" s="290" t="s"/>
    </row>
    <row r="188" spans="1:25">
      <c r="A188" s="278" t="s"/>
      <c r="B188" s="11" t="s"/>
      <c r="C188" s="7" t="s"/>
      <c r="D188" s="281" t="s"/>
      <c r="E188" s="282" t="s"/>
      <c r="F188" s="283" t="s"/>
      <c r="G188" s="209" t="s"/>
      <c r="H188" s="7" t="s"/>
      <c r="I188" s="11" t="s"/>
      <c r="J188" s="209" t="s"/>
      <c r="K188" s="7" t="s"/>
      <c r="L188" s="7" t="s"/>
      <c r="M188" s="287" t="s"/>
      <c r="N188" s="300" t="s"/>
      <c r="O188" s="301" t="s"/>
      <c r="P188" s="300" t="s">
        <f>=IF(K188&lt;&gt;"",IF(ISBLANK(M188),IF(TODAY()-J188&gt;14,"超时","未超时"),IF(M188-J188&gt;14,"超时","未超时")),"")</f>
      </c>
      <c r="Q188" s="7" t="s"/>
      <c r="R188" s="290" t="s"/>
      <c r="S188" s="7" t="s"/>
      <c r="T188" s="7" t="s"/>
      <c r="U188" s="7" t="s"/>
      <c r="V188" s="7" t="s"/>
      <c r="W188" s="7" t="s"/>
      <c r="X188" s="7" t="s"/>
      <c r="Y188" s="290" t="s"/>
    </row>
    <row r="189" spans="1:25">
      <c r="A189" s="278" t="s"/>
      <c r="B189" s="11" t="s"/>
      <c r="C189" s="7" t="s"/>
      <c r="D189" s="281" t="s"/>
      <c r="E189" s="282" t="s"/>
      <c r="F189" s="283" t="s"/>
      <c r="G189" s="209" t="s"/>
      <c r="H189" s="7" t="s"/>
      <c r="I189" s="11" t="s"/>
      <c r="J189" s="209" t="s"/>
      <c r="K189" s="7" t="s"/>
      <c r="L189" s="7" t="s"/>
      <c r="M189" s="287" t="s"/>
      <c r="N189" s="300" t="s"/>
      <c r="O189" s="301" t="s"/>
      <c r="P189" s="300" t="s">
        <f>=IF(K189&lt;&gt;"",IF(ISBLANK(M189),IF(TODAY()-J189&gt;14,"超时","未超时"),IF(M189-J189&gt;14,"超时","未超时")),"")</f>
      </c>
      <c r="Q189" s="7" t="s"/>
      <c r="R189" s="290" t="s"/>
      <c r="S189" s="7" t="s"/>
      <c r="T189" s="7" t="s"/>
      <c r="U189" s="7" t="s"/>
      <c r="V189" s="7" t="s"/>
      <c r="W189" s="7" t="s"/>
      <c r="X189" s="7" t="s"/>
      <c r="Y189" s="290" t="s"/>
    </row>
    <row r="190" spans="1:25">
      <c r="A190" s="278" t="s"/>
      <c r="B190" s="11" t="s"/>
      <c r="C190" s="7" t="s"/>
      <c r="D190" s="281" t="s"/>
      <c r="E190" s="282" t="s"/>
      <c r="F190" s="283" t="s"/>
      <c r="G190" s="209" t="s"/>
      <c r="H190" s="7" t="s"/>
      <c r="I190" s="11" t="s"/>
      <c r="J190" s="209" t="s"/>
      <c r="K190" s="7" t="s"/>
      <c r="L190" s="7" t="s"/>
      <c r="M190" s="287" t="s"/>
      <c r="N190" s="300" t="s"/>
      <c r="O190" s="301" t="s"/>
      <c r="P190" s="300" t="s">
        <f>=IF(K190&lt;&gt;"",IF(ISBLANK(M190),IF(TODAY()-J190&gt;14,"超时","未超时"),IF(M190-J190&gt;14,"超时","未超时")),"")</f>
      </c>
      <c r="Q190" s="7" t="s"/>
      <c r="R190" s="290" t="s"/>
      <c r="S190" s="7" t="s"/>
      <c r="T190" s="7" t="s"/>
      <c r="U190" s="7" t="s"/>
      <c r="V190" s="7" t="s"/>
      <c r="W190" s="7" t="s"/>
      <c r="X190" s="7" t="s"/>
      <c r="Y190" s="290" t="s"/>
    </row>
    <row r="191" spans="1:25">
      <c r="A191" s="278" t="s"/>
      <c r="B191" s="11" t="s"/>
      <c r="C191" s="7" t="s"/>
      <c r="D191" s="281" t="s"/>
      <c r="E191" s="282" t="s"/>
      <c r="F191" s="283" t="s"/>
      <c r="G191" s="209" t="s"/>
      <c r="H191" s="7" t="s"/>
      <c r="I191" s="11" t="s"/>
      <c r="J191" s="209" t="s"/>
      <c r="K191" s="7" t="s"/>
      <c r="L191" s="7" t="s"/>
      <c r="M191" s="287" t="s"/>
      <c r="N191" s="300" t="s"/>
      <c r="O191" s="301" t="s"/>
      <c r="P191" s="300" t="s">
        <f>=IF(K191&lt;&gt;"",IF(ISBLANK(M191),IF(TODAY()-J191&gt;14,"超时","未超时"),IF(M191-J191&gt;14,"超时","未超时")),"")</f>
      </c>
      <c r="Q191" s="7" t="s"/>
      <c r="R191" s="290" t="s"/>
      <c r="S191" s="7" t="s"/>
      <c r="T191" s="7" t="s"/>
      <c r="U191" s="7" t="s"/>
      <c r="V191" s="7" t="s"/>
      <c r="W191" s="7" t="s"/>
      <c r="X191" s="7" t="s"/>
      <c r="Y191" s="290" t="s"/>
    </row>
  </sheetData>
  <customSheetViews>
    <customSheetView guid="{FB3521E3-435A-4B4C-8650-3F267FE88BEE}" hiddenColumns="true"/>
  </customSheetViews>
  <conditionalFormatting sqref="C88 C106:C120 C124:C152 C158:C181 C183:C185">
    <cfRule type="duplicateValues" dxfId="0" priority="1"/>
  </conditionalFormatting>
  <conditionalFormatting sqref="C2:C78">
    <cfRule type="containsBlanks" dxfId="1" priority="2">
      <formula>LEN(TRIM(C2))=0</formula>
    </cfRule>
  </conditionalFormatting>
  <conditionalFormatting sqref="P1:P191">
    <cfRule type="cellIs" dxfId="2" priority="3" operator="equal" text="=&quot;超时&quot;">
      <formula>"超时"</formula>
      <formula>"超时"</formula>
    </cfRule>
  </conditionalFormatting>
  <conditionalFormatting sqref="P1:P191">
    <cfRule type="cellIs" dxfId="3" priority="4" operator="equal" text="=&quot;未超时&quot;">
      <formula>"未超时"</formula>
      <formula>"未超时"</formula>
    </cfRule>
  </conditionalFormatting>
  <dataValidations>
    <dataValidation type="list" errorStyle="stop" allowBlank="true" showDropDown="false" showInputMessage="true" showErrorMessage="true" prompt="" sqref="N2:N1048576">
      <formula1>"注册装修中,授权中,服务中,已结束,"</formula1>
    </dataValidation>
    <dataValidation type="date" errorStyle="stop" showInputMessage="true" showErrorMessage="true" prompt="" sqref="M1:M1048576">
      <formula1/>
      <formula2/>
    </dataValidation>
  </dataValidations>
  <legacyDrawing r:id="rId0"/>
</worksheet>
</file>

<file path=xl/worksheets/sheet6.xml><?xml version="1.0" encoding="utf-8"?>
<worksheet xmlns:r="http://schemas.openxmlformats.org/officeDocument/2006/relationships" xmlns="http://schemas.openxmlformats.org/spreadsheetml/2006/main">
  <sheetPr codeName="服务进度表-客成">
    <tabColor/>
  </sheetPr>
  <dimension ref="A1"/>
  <sheetViews>
    <sheetView showGridLines="true" workbookViewId="0">
      <pane xSplit="7" ySplit="3" topLeftCell="H4" state="frozen"/>
    </sheetView>
  </sheetViews>
  <sheetFormatPr baseColWidth="13" defaultRowHeight="18" customHeight="true"/>
  <sheetData/>
  <legacyDrawing r:id="rId0"/>
</worksheet>
</file>

<file path=xl/worksheets/sheet7.xml><?xml version="1.0" encoding="utf-8"?>
<worksheet xmlns="http://schemas.openxmlformats.org/spreadsheetml/2006/main">
  <sheetPr codeName="客诉及营销汇总表">
    <tabColor/>
  </sheetPr>
  <dimension ref="G73"/>
  <sheetViews>
    <sheetView showGridLines="true" workbookViewId="0"/>
  </sheetViews>
  <sheetFormatPr baseColWidth="13" defaultRowHeight="18" customHeight="true"/>
  <cols>
    <col min="1" max="1" width="6.47266" style="410" customWidth="true"/>
    <col min="2" max="2" width="38.1836" style="410" customWidth="true"/>
    <col min="3" max="3" width="13.6719" style="445"/>
    <col min="4" max="5" width="13.6719" style="410"/>
    <col min="6" max="7" width="18.4844" style="410" customWidth="true"/>
    <col min="8" max="8" width="83.3633" style="420" customWidth="true"/>
    <col min="9" max="10" width="13.6719" style="410"/>
    <col min="11" max="11" width="13.6719" style="445"/>
    <col min="12" max="27" width="13.6719" style="410"/>
  </cols>
  <sheetData>
    <row r="1" spans="1:27" s="444" customFormat="true">
      <c r="A1" s="402" t="s">
        <v>1</v>
      </c>
      <c r="B1" s="402" t="s">
        <v>588</v>
      </c>
      <c r="C1" s="403" t="s">
        <v>1661</v>
      </c>
      <c r="D1" s="402" t="s">
        <v>1662</v>
      </c>
      <c r="E1" s="402" t="s">
        <v>1663</v>
      </c>
      <c r="F1" s="402" t="s">
        <v>1664</v>
      </c>
      <c r="G1" s="402" t="s">
        <v>1665</v>
      </c>
      <c r="H1" s="404" t="s">
        <v>1666</v>
      </c>
      <c r="I1" s="405" t="s">
        <v>1667</v>
      </c>
      <c r="J1" s="405" t="s">
        <v>1668</v>
      </c>
      <c r="K1" s="406" t="s">
        <v>1669</v>
      </c>
      <c r="L1" s="407" t="s">
        <v>1670</v>
      </c>
      <c r="M1" s="407" t="s"/>
      <c r="N1" s="407" t="s"/>
      <c r="O1" s="408" t="s"/>
      <c r="P1" s="408" t="s"/>
      <c r="Q1" s="408" t="s"/>
      <c r="R1" s="408" t="s"/>
      <c r="S1" s="408" t="s"/>
      <c r="T1" s="408" t="s"/>
      <c r="U1" s="408" t="s"/>
      <c r="V1" s="408" t="s"/>
      <c r="W1" s="408" t="s"/>
      <c r="X1" s="408" t="s"/>
      <c r="Y1" s="408" t="s"/>
      <c r="Z1" s="408" t="s"/>
      <c r="AA1" s="408" t="s"/>
    </row>
    <row r="2" spans="1:10">
      <c r="A2" s="409">
        <v>1</v>
      </c>
      <c r="B2" s="410" t="s">
        <v>635</v>
      </c>
      <c r="C2" s="411">
        <v>46101</v>
      </c>
      <c r="D2" s="412" t="s">
        <v>1671</v>
      </c>
      <c r="E2" s="412" t="s">
        <v>1672</v>
      </c>
      <c r="F2" s="412" t="s">
        <v>1673</v>
      </c>
      <c r="G2" s="413" t="s">
        <v>1674</v>
      </c>
      <c r="H2" s="414" t="s">
        <v>1675</v>
      </c>
      <c r="I2" s="412" t="s"/>
      <c r="J2" s="415" t="s"/>
    </row>
    <row r="3" spans="1:9">
      <c r="A3" s="409">
        <v>2</v>
      </c>
      <c r="B3" s="410" t="s">
        <v>543</v>
      </c>
      <c r="C3" s="411">
        <v>46101</v>
      </c>
      <c r="D3" s="413" t="s">
        <v>1671</v>
      </c>
      <c r="E3" s="413" t="s">
        <v>1672</v>
      </c>
      <c r="F3" s="413" t="s">
        <v>1673</v>
      </c>
      <c r="G3" s="413" t="s">
        <v>1674</v>
      </c>
      <c r="H3" s="414" t="s">
        <v>1676</v>
      </c>
      <c r="I3" s="413" t="s"/>
    </row>
    <row r="4" spans="1:9">
      <c r="A4" s="409">
        <v>3</v>
      </c>
      <c r="B4" s="416" t="s">
        <v>630</v>
      </c>
      <c r="C4" s="411">
        <v>46101</v>
      </c>
      <c r="D4" s="413" t="s">
        <v>1671</v>
      </c>
      <c r="E4" s="413" t="s">
        <v>1672</v>
      </c>
      <c r="F4" s="413" t="s">
        <v>1677</v>
      </c>
      <c r="G4" s="413" t="s">
        <v>1674</v>
      </c>
      <c r="H4" s="417" t="s">
        <v>1713</v>
      </c>
      <c r="I4" s="413" t="s"/>
    </row>
    <row r="5" spans="1:9">
      <c r="A5" s="409">
        <v>4</v>
      </c>
      <c r="B5" s="416" t="s">
        <v>850</v>
      </c>
      <c r="C5" s="411">
        <v>46101</v>
      </c>
      <c r="D5" s="413" t="s">
        <v>1671</v>
      </c>
      <c r="E5" s="413" t="s">
        <v>1672</v>
      </c>
      <c r="F5" s="413" t="s">
        <v>1677</v>
      </c>
      <c r="G5" s="413" t="s">
        <v>1674</v>
      </c>
      <c r="H5" s="417" t="s">
        <v>1714</v>
      </c>
      <c r="I5" s="413" t="s"/>
    </row>
    <row r="6" spans="1:9">
      <c r="A6" s="409">
        <v>5</v>
      </c>
      <c r="B6" s="416" t="s">
        <v>691</v>
      </c>
      <c r="C6" s="411">
        <v>46101</v>
      </c>
      <c r="D6" s="413" t="s">
        <v>1671</v>
      </c>
      <c r="E6" s="413" t="s">
        <v>1672</v>
      </c>
      <c r="F6" s="413" t="s">
        <v>1677</v>
      </c>
      <c r="G6" s="413" t="s">
        <v>1674</v>
      </c>
      <c r="H6" s="417" t="s">
        <v>1678</v>
      </c>
      <c r="I6" s="413" t="s"/>
    </row>
    <row r="7" spans="1:9" hidden="true">
      <c r="A7" s="409">
        <v>6</v>
      </c>
      <c r="B7" s="418" t="s">
        <v>1679</v>
      </c>
      <c r="C7" s="411">
        <v>46105</v>
      </c>
      <c r="D7" s="413" t="s"/>
      <c r="E7" s="413" t="s"/>
      <c r="F7" s="413" t="s">
        <v>1680</v>
      </c>
      <c r="G7" s="413" t="s"/>
      <c r="H7" s="414" t="s">
        <v>1681</v>
      </c>
      <c r="I7" s="413" t="s"/>
    </row>
    <row r="8" spans="1:9" hidden="true">
      <c r="A8" s="409">
        <v>7</v>
      </c>
      <c r="B8" s="418" t="s">
        <v>1682</v>
      </c>
      <c r="C8" s="411">
        <v>46101</v>
      </c>
      <c r="D8" s="413" t="s"/>
      <c r="E8" s="413" t="s"/>
      <c r="F8" s="413" t="s">
        <v>1680</v>
      </c>
      <c r="G8" s="413" t="s"/>
      <c r="H8" s="414" t="s">
        <v>1683</v>
      </c>
      <c r="I8" s="413" t="s"/>
    </row>
    <row r="9" spans="1:9">
      <c r="A9" s="409">
        <v>8</v>
      </c>
      <c r="B9" s="418" t="s">
        <v>237</v>
      </c>
      <c r="C9" s="411">
        <v>46099</v>
      </c>
      <c r="D9" s="413" t="s">
        <v>1671</v>
      </c>
      <c r="E9" s="413" t="s">
        <v>1672</v>
      </c>
      <c r="F9" s="413" t="s">
        <v>1677</v>
      </c>
      <c r="G9" s="413" t="s">
        <v>1674</v>
      </c>
      <c r="H9" s="414" t="s">
        <v>1684</v>
      </c>
      <c r="I9" s="413" t="s"/>
    </row>
    <row r="10" spans="1:10">
      <c r="A10" s="409">
        <v>9</v>
      </c>
      <c r="B10" s="25" t="s">
        <v>1685</v>
      </c>
      <c r="C10" s="411">
        <v>46106</v>
      </c>
      <c r="D10" s="413" t="s">
        <v>1686</v>
      </c>
      <c r="E10" s="413" t="s">
        <v>1672</v>
      </c>
      <c r="F10" s="413" t="s">
        <v>1677</v>
      </c>
      <c r="G10" s="413" t="s">
        <v>1687</v>
      </c>
      <c r="H10" s="414" t="s">
        <v>1688</v>
      </c>
      <c r="I10" s="413" t="s"/>
      <c r="J10" s="410" t="s"/>
    </row>
    <row r="11" spans="1:10">
      <c r="A11" s="409">
        <v>10</v>
      </c>
      <c r="B11" s="418" t="s">
        <v>792</v>
      </c>
      <c r="C11" s="411">
        <v>46104</v>
      </c>
      <c r="D11" s="413" t="s">
        <v>1686</v>
      </c>
      <c r="E11" s="413" t="s">
        <v>1672</v>
      </c>
      <c r="F11" s="413" t="s">
        <v>1677</v>
      </c>
      <c r="G11" s="413" t="s">
        <v>1687</v>
      </c>
      <c r="H11" s="414" t="s">
        <v>1689</v>
      </c>
      <c r="I11" s="413" t="s"/>
      <c r="J11" s="410" t="s"/>
    </row>
    <row r="12" spans="1:10">
      <c r="A12" s="409">
        <v>11</v>
      </c>
      <c r="B12" s="419" t="s">
        <v>1690</v>
      </c>
      <c r="C12" s="411">
        <v>46108</v>
      </c>
      <c r="D12" s="413" t="s">
        <v>1686</v>
      </c>
      <c r="E12" s="413" t="s">
        <v>1672</v>
      </c>
      <c r="F12" s="413" t="s">
        <v>1677</v>
      </c>
      <c r="G12" s="413" t="s">
        <v>1687</v>
      </c>
      <c r="H12" s="414" t="s">
        <v>1691</v>
      </c>
      <c r="I12" s="413" t="s"/>
      <c r="J12" s="410" t="s"/>
    </row>
    <row r="13" spans="1:9">
      <c r="A13" s="410">
        <v>12</v>
      </c>
      <c r="B13" s="410" t="s">
        <v>552</v>
      </c>
      <c r="C13" s="411">
        <v>46111</v>
      </c>
      <c r="D13" s="413" t="s">
        <v>1686</v>
      </c>
      <c r="E13" s="413" t="s">
        <v>1692</v>
      </c>
      <c r="F13" s="413" t="s">
        <v>1673</v>
      </c>
      <c r="G13" s="413" t="s">
        <v>1687</v>
      </c>
      <c r="H13" s="420" t="s">
        <v>1693</v>
      </c>
      <c r="I13" s="413" t="s"/>
    </row>
    <row r="14" spans="1:9">
      <c r="A14" s="410">
        <v>13</v>
      </c>
      <c r="B14" s="421" t="s">
        <v>759</v>
      </c>
      <c r="C14" s="411" t="s"/>
      <c r="D14" s="413" t="s"/>
      <c r="E14" s="413" t="s"/>
      <c r="F14" s="413" t="s">
        <v>1677</v>
      </c>
      <c r="G14" s="413" t="s"/>
      <c r="H14" s="420" t="s">
        <v>1694</v>
      </c>
      <c r="I14" s="413" t="s"/>
    </row>
    <row r="15" spans="1:9">
      <c r="A15" s="422">
        <v>14</v>
      </c>
      <c r="B15" s="410" t="s">
        <v>835</v>
      </c>
      <c r="C15" s="423">
        <v>46115</v>
      </c>
      <c r="D15" s="413" t="s">
        <v>1686</v>
      </c>
      <c r="E15" s="413" t="s">
        <v>1672</v>
      </c>
      <c r="F15" s="413" t="s">
        <v>1677</v>
      </c>
      <c r="G15" s="413" t="s">
        <v>1687</v>
      </c>
      <c r="H15" s="420" t="s">
        <v>1695</v>
      </c>
      <c r="I15" s="413" t="s"/>
    </row>
    <row r="16" spans="1:9">
      <c r="A16" s="410">
        <v>15</v>
      </c>
      <c r="B16" s="410" t="s">
        <v>21</v>
      </c>
      <c r="C16" s="423">
        <v>46115</v>
      </c>
      <c r="D16" s="413" t="s">
        <v>1696</v>
      </c>
      <c r="E16" s="413" t="s">
        <v>1672</v>
      </c>
      <c r="F16" s="413" t="s">
        <v>1677</v>
      </c>
      <c r="G16" s="413" t="s">
        <v>1697</v>
      </c>
      <c r="H16" s="420" t="s">
        <v>1698</v>
      </c>
      <c r="I16" s="413" t="s"/>
    </row>
    <row r="17" spans="1:9">
      <c r="A17" s="422">
        <v>16</v>
      </c>
      <c r="B17" s="422" t="s">
        <v>14</v>
      </c>
      <c r="C17" s="424">
        <v>46122</v>
      </c>
      <c r="D17" s="413" t="s">
        <v>1696</v>
      </c>
      <c r="E17" s="413" t="s">
        <v>1672</v>
      </c>
      <c r="F17" s="413" t="s">
        <v>1677</v>
      </c>
      <c r="G17" s="413" t="s">
        <v>1697</v>
      </c>
      <c r="H17" s="420" t="s">
        <v>1699</v>
      </c>
      <c r="I17" s="413" t="s"/>
    </row>
    <row r="18" spans="1:9" ht="79.5" customHeight="true">
      <c r="A18" s="422">
        <v>17</v>
      </c>
      <c r="B18" s="410" t="s">
        <v>193</v>
      </c>
      <c r="C18" s="424">
        <v>46122</v>
      </c>
      <c r="D18" s="413" t="s">
        <v>1686</v>
      </c>
      <c r="E18" s="413" t="s">
        <v>1672</v>
      </c>
      <c r="F18" s="413" t="s">
        <v>1677</v>
      </c>
      <c r="G18" s="413" t="s">
        <v>1687</v>
      </c>
      <c r="H18" s="420" t="s">
        <v>1700</v>
      </c>
      <c r="I18" s="413" t="s"/>
    </row>
    <row r="19" spans="1:9">
      <c r="A19" s="410">
        <v>18</v>
      </c>
      <c r="B19" s="421" t="s">
        <v>1701</v>
      </c>
      <c r="C19" s="424">
        <v>46122</v>
      </c>
      <c r="D19" s="413" t="s">
        <v>1671</v>
      </c>
      <c r="E19" s="413" t="s">
        <v>1672</v>
      </c>
      <c r="F19" s="413" t="s">
        <v>1677</v>
      </c>
      <c r="G19" s="413" t="s">
        <v>1674</v>
      </c>
      <c r="H19" s="420" t="s">
        <v>1702</v>
      </c>
      <c r="I19" s="413" t="s"/>
    </row>
    <row r="20" spans="4:9">
      <c r="D20" s="413" t="s"/>
      <c r="E20" s="413" t="s"/>
      <c r="F20" s="413" t="s"/>
      <c r="G20" s="413" t="s"/>
      <c r="I20" s="413" t="s"/>
    </row>
    <row r="21" spans="4:9">
      <c r="D21" s="413" t="s"/>
      <c r="E21" s="413" t="s"/>
      <c r="F21" s="413" t="s"/>
      <c r="G21" s="413" t="s"/>
      <c r="I21" s="413" t="s"/>
    </row>
    <row r="22" spans="4:9">
      <c r="D22" s="413" t="s"/>
      <c r="E22" s="413" t="s"/>
      <c r="F22" s="413" t="s"/>
      <c r="G22" s="413" t="s"/>
      <c r="I22" s="413" t="s"/>
    </row>
    <row r="23" spans="4:9">
      <c r="D23" s="413" t="s"/>
      <c r="E23" s="413" t="s"/>
      <c r="F23" s="413" t="s"/>
      <c r="G23" s="413" t="s"/>
      <c r="I23" s="413" t="s"/>
    </row>
    <row r="24" spans="4:9">
      <c r="D24" s="413" t="s"/>
      <c r="E24" s="413" t="s"/>
      <c r="F24" s="413" t="s"/>
      <c r="G24" s="413" t="s"/>
      <c r="I24" s="413" t="s"/>
    </row>
    <row r="25" spans="4:9">
      <c r="D25" s="413" t="s"/>
      <c r="E25" s="413" t="s"/>
      <c r="F25" s="413" t="s"/>
      <c r="G25" s="413" t="s"/>
      <c r="I25" s="413" t="s"/>
    </row>
    <row r="26" spans="4:9">
      <c r="D26" s="413" t="s"/>
      <c r="E26" s="413" t="s"/>
      <c r="F26" s="413" t="s"/>
      <c r="G26" s="413" t="s"/>
      <c r="I26" s="413" t="s"/>
    </row>
    <row r="27" spans="4:9">
      <c r="D27" s="413" t="s"/>
      <c r="E27" s="413" t="s"/>
      <c r="F27" s="413" t="s"/>
      <c r="G27" s="413" t="s"/>
      <c r="I27" s="413" t="s"/>
    </row>
    <row r="28" spans="4:9">
      <c r="D28" s="413" t="s"/>
      <c r="E28" s="413" t="s"/>
      <c r="F28" s="413" t="s"/>
      <c r="G28" s="413" t="s"/>
      <c r="I28" s="413" t="s"/>
    </row>
    <row r="29" spans="4:9">
      <c r="D29" s="413" t="s"/>
      <c r="E29" s="413" t="s"/>
      <c r="F29" s="413" t="s"/>
      <c r="G29" s="413" t="s"/>
      <c r="I29" s="413" t="s"/>
    </row>
    <row r="30" spans="4:9">
      <c r="D30" s="413" t="s"/>
      <c r="E30" s="413" t="s"/>
      <c r="F30" s="413" t="s"/>
      <c r="G30" s="413" t="s"/>
      <c r="I30" s="413" t="s"/>
    </row>
    <row r="31" spans="4:9">
      <c r="D31" s="413" t="s"/>
      <c r="E31" s="413" t="s"/>
      <c r="F31" s="413" t="s"/>
      <c r="G31" s="413" t="s"/>
      <c r="I31" s="413" t="s"/>
    </row>
    <row r="32" spans="4:9">
      <c r="D32" s="413" t="s"/>
      <c r="E32" s="413" t="s"/>
      <c r="F32" s="413" t="s"/>
      <c r="G32" s="413" t="s"/>
      <c r="I32" s="413" t="s"/>
    </row>
    <row r="33" spans="4:9">
      <c r="D33" s="413" t="s"/>
      <c r="E33" s="413" t="s"/>
      <c r="F33" s="413" t="s"/>
      <c r="G33" s="413" t="s"/>
      <c r="I33" s="413" t="s"/>
    </row>
    <row r="34" spans="4:9">
      <c r="D34" s="413" t="s"/>
      <c r="E34" s="413" t="s"/>
      <c r="F34" s="413" t="s"/>
      <c r="G34" s="413" t="s"/>
      <c r="I34" s="413" t="s"/>
    </row>
    <row r="35" spans="4:9">
      <c r="D35" s="413" t="s"/>
      <c r="E35" s="413" t="s"/>
      <c r="F35" s="413" t="s"/>
      <c r="G35" s="413" t="s"/>
      <c r="I35" s="413" t="s"/>
    </row>
    <row r="36" spans="4:9">
      <c r="D36" s="413" t="s"/>
      <c r="E36" s="413" t="s"/>
      <c r="F36" s="413" t="s"/>
      <c r="G36" s="413" t="s"/>
      <c r="I36" s="413" t="s"/>
    </row>
    <row r="37" spans="4:9">
      <c r="D37" s="413" t="s"/>
      <c r="E37" s="413" t="s"/>
      <c r="F37" s="413" t="s"/>
      <c r="G37" s="413" t="s"/>
      <c r="I37" s="413" t="s"/>
    </row>
    <row r="38" spans="4:9">
      <c r="D38" s="413" t="s"/>
      <c r="E38" s="413" t="s"/>
      <c r="F38" s="413" t="s"/>
      <c r="G38" s="413" t="s"/>
      <c r="I38" s="413" t="s"/>
    </row>
    <row r="39" spans="4:7">
      <c r="D39" s="413" t="s"/>
      <c r="E39" s="413" t="s"/>
      <c r="F39" s="413" t="s"/>
      <c r="G39" s="413" t="s"/>
    </row>
    <row r="40" spans="4:7">
      <c r="D40" s="413" t="s"/>
      <c r="E40" s="413" t="s"/>
      <c r="F40" s="413" t="s"/>
      <c r="G40" s="413" t="s"/>
    </row>
    <row r="41" spans="4:7">
      <c r="D41" s="413" t="s"/>
      <c r="E41" s="413" t="s"/>
      <c r="F41" s="413" t="s"/>
      <c r="G41" s="413" t="s"/>
    </row>
    <row r="42" spans="4:7">
      <c r="D42" s="413" t="s"/>
      <c r="E42" s="413" t="s"/>
      <c r="F42" s="413" t="s"/>
      <c r="G42" s="413" t="s"/>
    </row>
    <row r="43" spans="4:7">
      <c r="D43" s="413" t="s"/>
      <c r="E43" s="413" t="s"/>
      <c r="F43" s="413" t="s"/>
      <c r="G43" s="413" t="s"/>
    </row>
    <row r="44" spans="4:7">
      <c r="D44" s="413" t="s"/>
      <c r="E44" s="413" t="s"/>
      <c r="F44" s="413" t="s"/>
      <c r="G44" s="413" t="s"/>
    </row>
    <row r="45" spans="4:7">
      <c r="D45" s="413" t="s"/>
      <c r="E45" s="413" t="s"/>
      <c r="F45" s="413" t="s"/>
      <c r="G45" s="413" t="s"/>
    </row>
    <row r="46" spans="4:7">
      <c r="D46" s="413" t="s"/>
      <c r="E46" s="413" t="s"/>
      <c r="F46" s="413" t="s"/>
      <c r="G46" s="413" t="s"/>
    </row>
    <row r="47" spans="4:7">
      <c r="D47" s="413" t="s"/>
      <c r="E47" s="413" t="s"/>
      <c r="F47" s="413" t="s"/>
      <c r="G47" s="413" t="s"/>
    </row>
    <row r="48" spans="4:7">
      <c r="D48" s="413" t="s"/>
      <c r="E48" s="413" t="s"/>
      <c r="F48" s="413" t="s"/>
      <c r="G48" s="413" t="s"/>
    </row>
    <row r="49" spans="4:7">
      <c r="D49" s="413" t="s"/>
      <c r="E49" s="413" t="s"/>
      <c r="F49" s="413" t="s"/>
      <c r="G49" s="413" t="s"/>
    </row>
    <row r="50" spans="4:7">
      <c r="D50" s="413" t="s"/>
      <c r="E50" s="413" t="s"/>
      <c r="F50" s="413" t="s"/>
      <c r="G50" s="413" t="s"/>
    </row>
    <row r="51" spans="4:7">
      <c r="D51" s="413" t="s"/>
      <c r="E51" s="413" t="s"/>
      <c r="F51" s="413" t="s"/>
      <c r="G51" s="413" t="s"/>
    </row>
    <row r="52" spans="4:7">
      <c r="D52" s="413" t="s"/>
      <c r="E52" s="413" t="s"/>
      <c r="F52" s="413" t="s"/>
      <c r="G52" s="413" t="s"/>
    </row>
    <row r="53" spans="4:7">
      <c r="D53" s="413" t="s"/>
      <c r="E53" s="413" t="s"/>
      <c r="F53" s="413" t="s"/>
      <c r="G53" s="413" t="s"/>
    </row>
    <row r="54" spans="4:7">
      <c r="D54" s="413" t="s"/>
      <c r="E54" s="413" t="s"/>
      <c r="F54" s="413" t="s"/>
      <c r="G54" s="413" t="s"/>
    </row>
    <row r="55" spans="4:7">
      <c r="D55" s="413" t="s"/>
      <c r="E55" s="413" t="s"/>
      <c r="F55" s="413" t="s"/>
      <c r="G55" s="413" t="s"/>
    </row>
    <row r="56" spans="4:7">
      <c r="D56" s="413" t="s"/>
      <c r="E56" s="413" t="s"/>
      <c r="F56" s="413" t="s"/>
      <c r="G56" s="413" t="s"/>
    </row>
    <row r="57" spans="4:7">
      <c r="D57" s="413" t="s"/>
      <c r="E57" s="413" t="s"/>
      <c r="F57" s="413" t="s"/>
      <c r="G57" s="413" t="s"/>
    </row>
    <row r="58" spans="4:7">
      <c r="D58" s="413" t="s"/>
      <c r="E58" s="413" t="s"/>
      <c r="F58" s="413" t="s"/>
      <c r="G58" s="413" t="s"/>
    </row>
    <row r="59" spans="4:7">
      <c r="D59" s="413" t="s"/>
      <c r="E59" s="413" t="s"/>
      <c r="F59" s="413" t="s"/>
      <c r="G59" s="413" t="s"/>
    </row>
    <row r="60" spans="4:7">
      <c r="D60" s="413" t="s"/>
      <c r="E60" s="413" t="s"/>
      <c r="F60" s="413" t="s"/>
      <c r="G60" s="413" t="s"/>
    </row>
    <row r="61" spans="4:7">
      <c r="D61" s="413" t="s"/>
      <c r="E61" s="413" t="s"/>
      <c r="F61" s="413" t="s"/>
      <c r="G61" s="413" t="s"/>
    </row>
    <row r="62" spans="4:7">
      <c r="D62" s="413" t="s"/>
      <c r="E62" s="413" t="s"/>
      <c r="F62" s="413" t="s"/>
      <c r="G62" s="413" t="s"/>
    </row>
    <row r="63" spans="4:7">
      <c r="D63" s="413" t="s"/>
      <c r="E63" s="413" t="s"/>
      <c r="F63" s="413" t="s"/>
      <c r="G63" s="413" t="s"/>
    </row>
    <row r="64" spans="4:7">
      <c r="D64" s="413" t="s"/>
      <c r="E64" s="413" t="s"/>
      <c r="F64" s="413" t="s"/>
      <c r="G64" s="413" t="s"/>
    </row>
    <row r="65" spans="4:7">
      <c r="D65" s="413" t="s"/>
      <c r="E65" s="413" t="s"/>
      <c r="F65" s="413" t="s"/>
      <c r="G65" s="413" t="s"/>
    </row>
    <row r="66" spans="4:7">
      <c r="D66" s="413" t="s"/>
      <c r="E66" s="413" t="s"/>
      <c r="F66" s="413" t="s"/>
      <c r="G66" s="413" t="s"/>
    </row>
    <row r="67" spans="4:7">
      <c r="D67" s="413" t="s"/>
      <c r="F67" s="425" t="s"/>
      <c r="G67" s="413" t="s"/>
    </row>
    <row r="68" spans="4:7">
      <c r="D68" s="413" t="s"/>
      <c r="F68" s="425" t="s"/>
      <c r="G68" s="413" t="s"/>
    </row>
    <row r="69" spans="4:7">
      <c r="D69" s="413" t="s"/>
      <c r="F69" s="425" t="s"/>
      <c r="G69" s="413" t="s"/>
    </row>
    <row r="70" spans="6:7">
      <c r="F70" s="425" t="s"/>
      <c r="G70" s="413" t="s"/>
    </row>
    <row r="71" spans="6:7">
      <c r="F71" s="425" t="s"/>
      <c r="G71" s="413" t="s"/>
    </row>
    <row r="72" spans="6:7">
      <c r="F72" s="425" t="s"/>
      <c r="G72" s="413" t="s"/>
    </row>
    <row r="73" spans="6:7">
      <c r="F73" s="425" t="s"/>
      <c r="G73" s="413" t="s"/>
    </row>
  </sheetData>
  <dataValidations>
    <dataValidation type="list" errorStyle="stop" allowBlank="true" showDropDown="false" showInputMessage="true" showErrorMessage="true" prompt="" sqref="D2:D69">
      <formula1>"客成,交付专员,产品功能,商务,"</formula1>
    </dataValidation>
    <dataValidation type="list" errorStyle="stop" allowBlank="true" showDropDown="false" showInputMessage="true" showErrorMessage="true" prompt="" sqref="E2:E66">
      <formula1>"400客服,企微群,商务投诉,其他,"</formula1>
    </dataValidation>
    <dataValidation type="list" errorStyle="stop" allowBlank="true" showDropDown="false" showInputMessage="true" showErrorMessage="true" prompt="" sqref="F2:F40">
      <formula1>"客诉,潜在客诉,交叉营销,"</formula1>
    </dataValidation>
    <dataValidation type="list" errorStyle="stop" allowBlank="true" showDropDown="false" showInputMessage="true" showErrorMessage="true" prompt="" sqref="F41:F73">
      <formula1>"服务客诉-客成,服务客诉-商务,服务客诉-交付,产品客诉,"</formula1>
    </dataValidation>
    <dataValidation type="list" errorStyle="stop" allowBlank="true" showDropDown="false" showInputMessage="true" showErrorMessage="true" prompt="" sqref="G2:G73">
      <formula1>"服务客诉-客成,服务客诉-商务,服务客诉-交付,产品客诉,"</formula1>
    </dataValidation>
    <dataValidation type="list" errorStyle="stop" allowBlank="true" showDropDown="false" showInputMessage="true" showErrorMessage="true" prompt="" sqref="I2:I38">
      <formula1>"处理中,已完成,"</formula1>
    </dataValidation>
  </dataValidations>
</worksheet>
</file>

<file path=xl/worksheets/sheet8.xml><?xml version="1.0" encoding="utf-8"?>
<worksheet xmlns="http://schemas.openxmlformats.org/spreadsheetml/2006/main">
  <sheetPr codeName="交付实施进度">
    <tabColor/>
  </sheetPr>
  <dimension ref="C216"/>
  <sheetViews>
    <sheetView showGridLines="true" workbookViewId="0"/>
  </sheetViews>
  <sheetFormatPr baseColWidth="13" defaultRowHeight="18" customHeight="true"/>
  <cols>
    <col min="1" max="1" width="5.53125" style="10" customWidth="true"/>
    <col min="2" max="2" width="11.332" style="10" hidden="true" customWidth="true"/>
    <col min="3" max="3" width="31.9609" style="10" customWidth="true"/>
    <col min="4" max="4" width="23.7422" customWidth="true"/>
    <col min="8" max="8" width="13.6719" style="446"/>
    <col min="9" max="9" width="19.4219" style="446" customWidth="true"/>
    <col min="10" max="10" width="19.8242" style="446" customWidth="true"/>
    <col min="11" max="11" width="13.6719" style="446"/>
  </cols>
  <sheetData>
    <row r="1" spans="1:11">
      <c r="A1" s="4" t="s">
        <v>1</v>
      </c>
      <c r="B1" s="4" t="s">
        <v>2</v>
      </c>
      <c r="C1" s="4" t="s">
        <v>1703</v>
      </c>
      <c r="D1" s="5" t="s">
        <v>3</v>
      </c>
      <c r="E1" s="5" t="s">
        <v>4</v>
      </c>
      <c r="F1" s="5" t="s">
        <v>5</v>
      </c>
      <c r="G1" s="5" t="s">
        <v>6</v>
      </c>
      <c r="H1" s="6" t="s">
        <v>7</v>
      </c>
      <c r="I1" s="6" t="s">
        <v>8</v>
      </c>
      <c r="J1" s="6" t="s">
        <v>9</v>
      </c>
      <c r="K1" s="6" t="s">
        <v>10</v>
      </c>
    </row>
    <row r="2" spans="1:11">
      <c r="A2" s="7">
        <f>='服务进度表-交付实施'!A2</f>
        <v>1</v>
      </c>
      <c r="B2" s="7" t="s"/>
      <c r="C2" s="7" t="s">
        <f>='服务进度表-交付实施'!C2</f>
        <v>11</v>
      </c>
      <c r="D2" s="8" t="s">
        <f>='服务进度表-交付实施'!D2</f>
        <v>12</v>
      </c>
      <c r="E2" s="8">
        <f>='服务进度表-交付实施'!J2</f>
        <v>46080</v>
      </c>
      <c r="F2" s="8" t="s">
        <f>='服务进度表-交付实施'!L2</f>
        <v>13</v>
      </c>
      <c r="G2" s="8">
        <f>='服务进度表-交付实施'!M2</f>
        <v>46090</v>
      </c>
      <c r="H2" s="9">
        <f>=WORKDAY(E2,5)</f>
        <v>46087</v>
      </c>
      <c r="I2" s="9">
        <f>=WORKDAY(H2,1)</f>
        <v>46090</v>
      </c>
      <c r="J2" s="9">
        <f>=WORKDAY(I2,5)</f>
        <v>46097</v>
      </c>
      <c r="K2" s="9">
        <f>=WORKDAY(H2,5)</f>
        <v>46094</v>
      </c>
    </row>
    <row r="3" spans="1:11">
      <c r="A3" s="7">
        <f>='服务进度表-交付实施'!A3</f>
        <v>2</v>
      </c>
      <c r="B3" s="7" t="s"/>
      <c r="C3" s="7" t="s">
        <f>='服务进度表-交付实施'!C3</f>
        <v>14</v>
      </c>
      <c r="D3" s="8" t="s">
        <f>='服务进度表-交付实施'!D3</f>
        <v>15</v>
      </c>
      <c r="E3" s="8">
        <f>='服务进度表-交付实施'!J3</f>
        <v>46080</v>
      </c>
      <c r="F3" s="8" t="s">
        <f>='服务进度表-交付实施'!L3</f>
        <v>16</v>
      </c>
      <c r="G3" s="8">
        <f>='服务进度表-交付实施'!M3</f>
        <v>46090</v>
      </c>
      <c r="H3" s="9">
        <f>=WORKDAY(E3,5)</f>
        <v>46087</v>
      </c>
      <c r="I3" s="9">
        <f>=WORKDAY(H3,1)</f>
        <v>46090</v>
      </c>
      <c r="J3" s="9">
        <f>=WORKDAY(I3,5)</f>
        <v>46097</v>
      </c>
      <c r="K3" s="9">
        <f>=WORKDAY(H3,5)</f>
        <v>46094</v>
      </c>
    </row>
    <row r="4" spans="1:11">
      <c r="A4" s="7">
        <f>='服务进度表-交付实施'!A4</f>
        <v>3</v>
      </c>
      <c r="B4" s="7" t="s"/>
      <c r="C4" s="7" t="s">
        <f>='服务进度表-交付实施'!C4</f>
        <v>17</v>
      </c>
      <c r="D4" s="8" t="s">
        <f>='服务进度表-交付实施'!D4</f>
        <v>12</v>
      </c>
      <c r="E4" s="8">
        <f>='服务进度表-交付实施'!J4</f>
        <v>46080</v>
      </c>
      <c r="F4" s="8" t="s">
        <f>='服务进度表-交付实施'!L4</f>
        <v>18</v>
      </c>
      <c r="G4" s="8">
        <f>='服务进度表-交付实施'!M4</f>
        <v>46084</v>
      </c>
      <c r="H4" s="9">
        <f>=WORKDAY(E4,5)</f>
        <v>46087</v>
      </c>
      <c r="I4" s="9">
        <f>=WORKDAY(H4,1)</f>
        <v>46090</v>
      </c>
      <c r="J4" s="9">
        <f>=WORKDAY(I4,5)</f>
        <v>46097</v>
      </c>
      <c r="K4" s="9">
        <f>=WORKDAY(H4,5)</f>
        <v>46094</v>
      </c>
    </row>
    <row r="5" spans="1:11">
      <c r="A5" s="7">
        <f>='服务进度表-交付实施'!A5</f>
        <v>4</v>
      </c>
      <c r="B5" s="7" t="s"/>
      <c r="C5" s="7" t="s">
        <f>='服务进度表-交付实施'!C5</f>
        <v>19</v>
      </c>
      <c r="D5" s="8" t="s">
        <f>='服务进度表-交付实施'!D5</f>
        <v>12</v>
      </c>
      <c r="E5" s="8">
        <f>='服务进度表-交付实施'!J5</f>
        <v>46080</v>
      </c>
      <c r="F5" s="8" t="s">
        <f>='服务进度表-交付实施'!L5</f>
        <v>18</v>
      </c>
      <c r="G5" s="8">
        <f>='服务进度表-交付实施'!M5</f>
        <v>46086</v>
      </c>
      <c r="H5" s="9">
        <f>=WORKDAY(E5,5)</f>
        <v>46087</v>
      </c>
      <c r="I5" s="9">
        <f>=WORKDAY(H5,1)</f>
        <v>46090</v>
      </c>
      <c r="J5" s="9">
        <f>=WORKDAY(I5,5)</f>
        <v>46097</v>
      </c>
      <c r="K5" s="9">
        <f>=WORKDAY(H5,5)</f>
        <v>46094</v>
      </c>
    </row>
    <row r="6" spans="1:11">
      <c r="A6" s="7">
        <f>='服务进度表-交付实施'!A6</f>
        <v>5</v>
      </c>
      <c r="B6" s="7" t="s"/>
      <c r="C6" s="7" t="s">
        <f>='服务进度表-交付实施'!C6</f>
        <v>20</v>
      </c>
      <c r="D6" s="8" t="s">
        <f>='服务进度表-交付实施'!D6</f>
        <v>12</v>
      </c>
      <c r="E6" s="8">
        <f>='服务进度表-交付实施'!J6</f>
        <v>46080</v>
      </c>
      <c r="F6" s="8" t="s">
        <f>='服务进度表-交付实施'!L6</f>
        <v>13</v>
      </c>
      <c r="G6" s="8">
        <f>='服务进度表-交付实施'!M6</f>
        <v>46091</v>
      </c>
      <c r="H6" s="9">
        <f>=WORKDAY(E6,5)</f>
        <v>46087</v>
      </c>
      <c r="I6" s="9">
        <f>=WORKDAY(H6,1)</f>
        <v>46090</v>
      </c>
      <c r="J6" s="9">
        <f>=WORKDAY(I6,5)</f>
        <v>46097</v>
      </c>
      <c r="K6" s="9">
        <f>=WORKDAY(H6,5)</f>
        <v>46094</v>
      </c>
    </row>
    <row r="7" spans="1:11">
      <c r="A7" s="7">
        <f>='服务进度表-交付实施'!A7</f>
        <v>6</v>
      </c>
      <c r="B7" s="7" t="s"/>
      <c r="C7" s="7" t="s">
        <f>='服务进度表-交付实施'!C7</f>
        <v>21</v>
      </c>
      <c r="D7" s="8" t="s">
        <f>='服务进度表-交付实施'!D7</f>
        <v>12</v>
      </c>
      <c r="E7" s="8">
        <f>='服务进度表-交付实施'!J7</f>
        <v>46083</v>
      </c>
      <c r="F7" s="8" t="s">
        <f>='服务进度表-交付实施'!L7</f>
        <v>18</v>
      </c>
      <c r="G7" s="8">
        <f>='服务进度表-交付实施'!M7</f>
        <v>46085</v>
      </c>
      <c r="H7" s="9">
        <f>=WORKDAY(E7,5)</f>
        <v>46090</v>
      </c>
      <c r="I7" s="9">
        <f>=WORKDAY(H7,1)</f>
        <v>46091</v>
      </c>
      <c r="J7" s="9">
        <f>=WORKDAY(I7,5)</f>
        <v>46098</v>
      </c>
      <c r="K7" s="9">
        <f>=WORKDAY(H7,5)</f>
        <v>46097</v>
      </c>
    </row>
    <row r="8" spans="1:11">
      <c r="A8" s="7">
        <f>='服务进度表-交付实施'!A8</f>
        <v>7</v>
      </c>
      <c r="B8" s="7" t="s"/>
      <c r="C8" s="7" t="s">
        <f>='服务进度表-交付实施'!C8</f>
        <v>22</v>
      </c>
      <c r="D8" s="8" t="s">
        <f>='服务进度表-交付实施'!D8</f>
        <v>15</v>
      </c>
      <c r="E8" s="8">
        <f>='服务进度表-交付实施'!J8</f>
        <v>46084</v>
      </c>
      <c r="F8" s="8" t="s">
        <f>='服务进度表-交付实施'!L8</f>
        <v>23</v>
      </c>
      <c r="G8" s="8">
        <f>='服务进度表-交付实施'!M8</f>
        <v>46091</v>
      </c>
      <c r="H8" s="9">
        <f>=WORKDAY(E8,5)</f>
        <v>46091</v>
      </c>
      <c r="I8" s="9">
        <f>=WORKDAY(H8,1)</f>
        <v>46092</v>
      </c>
      <c r="J8" s="9">
        <f>=WORKDAY(I8,5)</f>
        <v>46099</v>
      </c>
      <c r="K8" s="9">
        <f>=WORKDAY(H8,5)</f>
        <v>46098</v>
      </c>
    </row>
    <row r="9" spans="1:11">
      <c r="A9" s="7">
        <f>='服务进度表-交付实施'!A9</f>
        <v>8</v>
      </c>
      <c r="B9" s="7" t="s"/>
      <c r="C9" s="7" t="s">
        <f>='服务进度表-交付实施'!C9</f>
        <v>24</v>
      </c>
      <c r="D9" s="8" t="s">
        <f>='服务进度表-交付实施'!D9</f>
        <v>12</v>
      </c>
      <c r="E9" s="8">
        <f>='服务进度表-交付实施'!J9</f>
        <v>46084</v>
      </c>
      <c r="F9" s="8" t="s">
        <f>='服务进度表-交付实施'!L9</f>
        <v>18</v>
      </c>
      <c r="G9" s="8">
        <f>='服务进度表-交付实施'!M9</f>
        <v>46087</v>
      </c>
      <c r="H9" s="9">
        <f>=WORKDAY(E9,5)</f>
        <v>46091</v>
      </c>
      <c r="I9" s="9">
        <f>=WORKDAY(H9,1)</f>
        <v>46092</v>
      </c>
      <c r="J9" s="9">
        <f>=WORKDAY(I9,5)</f>
        <v>46099</v>
      </c>
      <c r="K9" s="9">
        <f>=WORKDAY(H9,5)</f>
        <v>46098</v>
      </c>
    </row>
    <row r="10" spans="1:11">
      <c r="A10" s="7">
        <f>='服务进度表-交付实施'!A10</f>
        <v>9</v>
      </c>
      <c r="B10" s="7" t="s"/>
      <c r="C10" s="7" t="s">
        <f>='服务进度表-交付实施'!C10</f>
        <v>25</v>
      </c>
      <c r="D10" s="8" t="s">
        <f>='服务进度表-交付实施'!D10</f>
        <v>12</v>
      </c>
      <c r="E10" s="8">
        <f>='服务进度表-交付实施'!J10</f>
        <v>46091</v>
      </c>
      <c r="F10" s="8" t="s">
        <f>='服务进度表-交付实施'!L10</f>
        <v>26</v>
      </c>
      <c r="G10" s="8">
        <f>='服务进度表-交付实施'!M10</f>
        <v>46101</v>
      </c>
      <c r="H10" s="9">
        <f>=WORKDAY(E10,5)</f>
        <v>46098</v>
      </c>
      <c r="I10" s="9">
        <f>=WORKDAY(H10,1)</f>
        <v>46099</v>
      </c>
      <c r="J10" s="9">
        <f>=WORKDAY(I10,5)</f>
        <v>46106</v>
      </c>
      <c r="K10" s="9">
        <f>=WORKDAY(H10,5)</f>
        <v>46105</v>
      </c>
    </row>
    <row r="11" spans="1:11">
      <c r="A11" s="7">
        <f>='服务进度表-交付实施'!A11</f>
        <v>10</v>
      </c>
      <c r="B11" s="7" t="s"/>
      <c r="C11" s="7" t="s">
        <f>='服务进度表-交付实施'!C11</f>
        <v>27</v>
      </c>
      <c r="D11" s="8" t="s">
        <f>='服务进度表-交付实施'!D11</f>
        <v>12</v>
      </c>
      <c r="E11" s="8">
        <f>='服务进度表-交付实施'!J11</f>
        <v>46098</v>
      </c>
      <c r="F11" s="8" t="s">
        <f>='服务进度表-交付实施'!L11</f>
        <v>18</v>
      </c>
      <c r="G11" s="8">
        <f>='服务进度表-交付实施'!M11</f>
        <v>46112</v>
      </c>
      <c r="H11" s="9">
        <f>=WORKDAY(E11,5)</f>
        <v>46105</v>
      </c>
      <c r="I11" s="9">
        <f>=WORKDAY(H11,1)</f>
        <v>46106</v>
      </c>
      <c r="J11" s="9">
        <f>=WORKDAY(I11,5)</f>
        <v>46113</v>
      </c>
      <c r="K11" s="9">
        <f>=WORKDAY(H11,5)</f>
        <v>46112</v>
      </c>
    </row>
    <row r="12" spans="1:11">
      <c r="A12" s="7">
        <f>='服务进度表-交付实施'!A12</f>
        <v>11</v>
      </c>
      <c r="B12" s="7" t="s"/>
      <c r="C12" s="7" t="s">
        <f>='服务进度表-交付实施'!C12</f>
        <v>28</v>
      </c>
      <c r="D12" s="8" t="s">
        <f>='服务进度表-交付实施'!D12</f>
        <v>12</v>
      </c>
      <c r="E12" s="8">
        <f>='服务进度表-交付实施'!J12</f>
        <v>46105</v>
      </c>
      <c r="F12" s="8" t="s">
        <f>='服务进度表-交付实施'!L12</f>
        <v>26</v>
      </c>
      <c r="G12" s="8">
        <f>='服务进度表-交付实施'!M12</f>
        <v>46114</v>
      </c>
      <c r="H12" s="9">
        <f>=WORKDAY(E12,5)</f>
        <v>46112</v>
      </c>
      <c r="I12" s="9">
        <f>=WORKDAY(H12,1)</f>
        <v>46113</v>
      </c>
      <c r="J12" s="9">
        <f>=WORKDAY(I12,5)</f>
        <v>46120</v>
      </c>
      <c r="K12" s="9">
        <f>=WORKDAY(H12,5)</f>
        <v>46119</v>
      </c>
    </row>
    <row r="13" spans="1:11">
      <c r="A13" s="7">
        <f>='服务进度表-交付实施'!A13</f>
        <v>12</v>
      </c>
      <c r="B13" s="7" t="s"/>
      <c r="C13" s="7" t="s">
        <f>='服务进度表-交付实施'!C13</f>
        <v>29</v>
      </c>
      <c r="D13" s="8" t="s">
        <f>='服务进度表-交付实施'!D13</f>
        <v>12</v>
      </c>
      <c r="E13" s="8">
        <f>='服务进度表-交付实施'!J13</f>
        <v>46085</v>
      </c>
      <c r="F13" s="8" t="s">
        <f>='服务进度表-交付实施'!L13</f>
        <v>18</v>
      </c>
      <c r="G13" s="8">
        <f>='服务进度表-交付实施'!M13</f>
        <v>46094</v>
      </c>
      <c r="H13" s="9">
        <f>=WORKDAY(E13,5)</f>
        <v>46092</v>
      </c>
      <c r="I13" s="9">
        <f>=WORKDAY(H13,1)</f>
        <v>46093</v>
      </c>
      <c r="J13" s="9">
        <f>=WORKDAY(I13,5)</f>
        <v>46100</v>
      </c>
      <c r="K13" s="9">
        <f>=WORKDAY(H13,5)</f>
        <v>46099</v>
      </c>
    </row>
    <row r="14" spans="1:11">
      <c r="A14" s="7">
        <f>='服务进度表-交付实施'!A14</f>
        <v>13</v>
      </c>
      <c r="B14" s="7" t="s"/>
      <c r="C14" s="7" t="s">
        <f>='服务进度表-交付实施'!C14</f>
        <v>30</v>
      </c>
      <c r="D14" s="8" t="s">
        <f>='服务进度表-交付实施'!D14</f>
        <v>12</v>
      </c>
      <c r="E14" s="8">
        <f>='服务进度表-交付实施'!J14</f>
        <v>46084</v>
      </c>
      <c r="F14" s="8" t="s">
        <f>='服务进度表-交付实施'!L14</f>
        <v>18</v>
      </c>
      <c r="G14" s="8">
        <f>='服务进度表-交付实施'!M14</f>
        <v>46090</v>
      </c>
      <c r="H14" s="9">
        <f>=WORKDAY(E14,5)</f>
        <v>46091</v>
      </c>
      <c r="I14" s="9">
        <f>=WORKDAY(H14,1)</f>
        <v>46092</v>
      </c>
      <c r="J14" s="9">
        <f>=WORKDAY(I14,5)</f>
        <v>46099</v>
      </c>
      <c r="K14" s="9">
        <f>=WORKDAY(H14,5)</f>
        <v>46098</v>
      </c>
    </row>
    <row r="15" spans="1:11">
      <c r="A15" s="7">
        <f>='服务进度表-交付实施'!A15</f>
        <v>14</v>
      </c>
      <c r="B15" s="7" t="s"/>
      <c r="C15" s="7" t="s">
        <f>='服务进度表-交付实施'!C15</f>
        <v>31</v>
      </c>
      <c r="D15" s="8" t="s">
        <f>='服务进度表-交付实施'!D15</f>
        <v>15</v>
      </c>
      <c r="E15" s="8">
        <f>='服务进度表-交付实施'!J15</f>
        <v>46085</v>
      </c>
      <c r="F15" s="8" t="s">
        <f>='服务进度表-交付实施'!L15</f>
        <v>32</v>
      </c>
      <c r="G15" s="8">
        <f>='服务进度表-交付实施'!M15</f>
        <v>46093</v>
      </c>
      <c r="H15" s="9">
        <f>=WORKDAY(E15,5)</f>
        <v>46092</v>
      </c>
      <c r="I15" s="9">
        <f>=WORKDAY(H15,1)</f>
        <v>46093</v>
      </c>
      <c r="J15" s="9">
        <f>=WORKDAY(I15,5)</f>
        <v>46100</v>
      </c>
      <c r="K15" s="9">
        <f>=WORKDAY(H15,5)</f>
        <v>46099</v>
      </c>
    </row>
    <row r="16" spans="1:11">
      <c r="A16" s="7">
        <f>='服务进度表-交付实施'!A16</f>
        <v>15</v>
      </c>
      <c r="B16" s="7" t="s"/>
      <c r="C16" s="7" t="s">
        <f>='服务进度表-交付实施'!C16</f>
        <v>33</v>
      </c>
      <c r="D16" s="8" t="s">
        <f>='服务进度表-交付实施'!D16</f>
        <v>12</v>
      </c>
      <c r="E16" s="8">
        <f>='服务进度表-交付实施'!J16</f>
        <v>46084</v>
      </c>
      <c r="F16" s="8" t="s">
        <f>='服务进度表-交付实施'!L16</f>
        <v>18</v>
      </c>
      <c r="G16" s="8">
        <f>='服务进度表-交付实施'!M16</f>
        <v>46094</v>
      </c>
      <c r="H16" s="9">
        <f>=WORKDAY(E16,5)</f>
        <v>46091</v>
      </c>
      <c r="I16" s="9">
        <f>=WORKDAY(H16,1)</f>
        <v>46092</v>
      </c>
      <c r="J16" s="9">
        <f>=WORKDAY(I16,5)</f>
        <v>46099</v>
      </c>
      <c r="K16" s="9">
        <f>=WORKDAY(H16,5)</f>
        <v>46098</v>
      </c>
    </row>
    <row r="17" spans="1:11">
      <c r="A17" s="7">
        <f>='服务进度表-交付实施'!A17</f>
        <v>16</v>
      </c>
      <c r="B17" s="7" t="s"/>
      <c r="C17" s="7" t="s">
        <f>='服务进度表-交付实施'!C17</f>
        <v>34</v>
      </c>
      <c r="D17" s="8" t="s">
        <f>='服务进度表-交付实施'!D17</f>
        <v>12</v>
      </c>
      <c r="E17" s="8">
        <f>='服务进度表-交付实施'!J17</f>
        <v>46084</v>
      </c>
      <c r="F17" s="8" t="s">
        <f>='服务进度表-交付实施'!L17</f>
        <v>35</v>
      </c>
      <c r="G17" s="8">
        <f>='服务进度表-交付实施'!M17</f>
        <v>46086</v>
      </c>
      <c r="H17" s="9">
        <f>=WORKDAY(E17,5)</f>
        <v>46091</v>
      </c>
      <c r="I17" s="9">
        <f>=WORKDAY(H17,1)</f>
        <v>46092</v>
      </c>
      <c r="J17" s="9">
        <f>=WORKDAY(I17,5)</f>
        <v>46099</v>
      </c>
      <c r="K17" s="9">
        <f>=WORKDAY(H17,5)</f>
        <v>46098</v>
      </c>
    </row>
    <row r="18" spans="1:11">
      <c r="A18" s="7">
        <f>='服务进度表-交付实施'!A18</f>
        <v>17</v>
      </c>
      <c r="B18" s="7" t="s"/>
      <c r="C18" s="7" t="s">
        <f>='服务进度表-交付实施'!C18</f>
        <v>36</v>
      </c>
      <c r="D18" s="8" t="s">
        <f>='服务进度表-交付实施'!D18</f>
        <v>12</v>
      </c>
      <c r="E18" s="8">
        <f>='服务进度表-交付实施'!J18</f>
        <v>46107</v>
      </c>
      <c r="F18" s="8" t="s">
        <f>='服务进度表-交付实施'!L18</f>
        <v>26</v>
      </c>
      <c r="G18" s="8">
        <f>='服务进度表-交付实施'!M18</f>
        <v>46120</v>
      </c>
      <c r="H18" s="9">
        <f>=WORKDAY(E18,5)</f>
        <v>46114</v>
      </c>
      <c r="I18" s="9">
        <f>=WORKDAY(H18,1)</f>
        <v>46115</v>
      </c>
      <c r="J18" s="9">
        <f>=WORKDAY(I18,5)</f>
        <v>46122</v>
      </c>
      <c r="K18" s="9">
        <f>=WORKDAY(H18,5)</f>
        <v>46121</v>
      </c>
    </row>
    <row r="19" spans="1:11">
      <c r="A19" s="7">
        <f>='服务进度表-交付实施'!A19</f>
        <v>18</v>
      </c>
      <c r="B19" s="7" t="s"/>
      <c r="C19" s="7" t="s">
        <f>='服务进度表-交付实施'!C19</f>
        <v>37</v>
      </c>
      <c r="D19" s="8" t="s">
        <f>='服务进度表-交付实施'!D19</f>
        <v>12</v>
      </c>
      <c r="E19" s="8">
        <f>='服务进度表-交付实施'!J19</f>
        <v>46093</v>
      </c>
      <c r="F19" s="8" t="s">
        <f>='服务进度表-交付实施'!L19</f>
        <v>26</v>
      </c>
      <c r="G19" s="8">
        <f>='服务进度表-交付实施'!M19</f>
        <v>46099</v>
      </c>
      <c r="H19" s="9">
        <f>=WORKDAY(E19,5)</f>
        <v>46100</v>
      </c>
      <c r="I19" s="9">
        <f>=WORKDAY(H19,1)</f>
        <v>46101</v>
      </c>
      <c r="J19" s="9">
        <f>=WORKDAY(I19,5)</f>
        <v>46108</v>
      </c>
      <c r="K19" s="9">
        <f>=WORKDAY(H19,5)</f>
        <v>46107</v>
      </c>
    </row>
    <row r="20" spans="1:11">
      <c r="A20" s="7">
        <f>='服务进度表-交付实施'!A20</f>
        <v>19</v>
      </c>
      <c r="B20" s="7" t="s"/>
      <c r="C20" s="7" t="s">
        <f>='服务进度表-交付实施'!C20</f>
        <v>38</v>
      </c>
      <c r="D20" s="8" t="s">
        <f>='服务进度表-交付实施'!D20</f>
        <v>15</v>
      </c>
      <c r="E20" s="8">
        <f>='服务进度表-交付实施'!J20</f>
        <v>46084</v>
      </c>
      <c r="F20" s="8" t="s">
        <f>='服务进度表-交付实施'!L20</f>
        <v>39</v>
      </c>
      <c r="G20" s="8">
        <f>='服务进度表-交付实施'!M20</f>
        <v>46091</v>
      </c>
      <c r="H20" s="9">
        <f>=WORKDAY(E20,5)</f>
        <v>46091</v>
      </c>
      <c r="I20" s="9">
        <f>=WORKDAY(H20,1)</f>
        <v>46092</v>
      </c>
      <c r="J20" s="9">
        <f>=WORKDAY(I20,5)</f>
        <v>46099</v>
      </c>
      <c r="K20" s="9">
        <f>=WORKDAY(H20,5)</f>
        <v>46098</v>
      </c>
    </row>
    <row r="21" spans="1:11">
      <c r="A21" s="7">
        <f>='服务进度表-交付实施'!A21</f>
        <v>20</v>
      </c>
      <c r="B21" s="7" t="s"/>
      <c r="C21" s="7" t="s">
        <f>='服务进度表-交付实施'!C21</f>
        <v>40</v>
      </c>
      <c r="D21" s="8" t="s">
        <f>='服务进度表-交付实施'!D21</f>
        <v>12</v>
      </c>
      <c r="E21" s="8">
        <f>='服务进度表-交付实施'!J21</f>
        <v>46087</v>
      </c>
      <c r="F21" s="8" t="s">
        <f>='服务进度表-交付实施'!L21</f>
        <v>41</v>
      </c>
      <c r="G21" s="8">
        <f>='服务进度表-交付实施'!M21</f>
        <v>46087</v>
      </c>
      <c r="H21" s="9">
        <f>=WORKDAY(E21,5)</f>
        <v>46094</v>
      </c>
      <c r="I21" s="9">
        <f>=WORKDAY(H21,1)</f>
        <v>46097</v>
      </c>
      <c r="J21" s="9">
        <f>=WORKDAY(I21,5)</f>
        <v>46104</v>
      </c>
      <c r="K21" s="9">
        <f>=WORKDAY(H21,5)</f>
        <v>46101</v>
      </c>
    </row>
    <row r="22" spans="1:11">
      <c r="A22" s="7">
        <f>='服务进度表-交付实施'!A22</f>
        <v>21</v>
      </c>
      <c r="B22" s="7" t="s"/>
      <c r="C22" s="7" t="s">
        <f>='服务进度表-交付实施'!C22</f>
        <v>42</v>
      </c>
      <c r="D22" s="8" t="s">
        <f>='服务进度表-交付实施'!D22</f>
        <v>12</v>
      </c>
      <c r="E22" s="8">
        <f>='服务进度表-交付实施'!J22</f>
        <v>0</v>
      </c>
      <c r="F22" s="8">
        <f>='服务进度表-交付实施'!L22</f>
        <v>0</v>
      </c>
      <c r="G22" s="8">
        <f>='服务进度表-交付实施'!M22</f>
        <v>0</v>
      </c>
      <c r="H22" s="9">
        <f>=WORKDAY(E22,5)</f>
        <v>6</v>
      </c>
      <c r="I22" s="9">
        <f>=WORKDAY(H22,1)</f>
        <v>9</v>
      </c>
      <c r="J22" s="9">
        <f>=WORKDAY(I22,5)</f>
        <v>16</v>
      </c>
      <c r="K22" s="9">
        <f>=WORKDAY(H22,5)</f>
        <v>13</v>
      </c>
    </row>
    <row r="23" spans="1:11">
      <c r="A23" s="7">
        <f>='服务进度表-交付实施'!A23</f>
        <v>22</v>
      </c>
      <c r="B23" s="7" t="s"/>
      <c r="C23" s="7" t="s">
        <f>='服务进度表-交付实施'!C23</f>
        <v>43</v>
      </c>
      <c r="D23" s="8" t="s">
        <f>='服务进度表-交付实施'!D23</f>
        <v>12</v>
      </c>
      <c r="E23" s="8">
        <f>='服务进度表-交付实施'!J23</f>
        <v>46086</v>
      </c>
      <c r="F23" s="8" t="s">
        <f>='服务进度表-交付实施'!L23</f>
        <v>44</v>
      </c>
      <c r="G23" s="8">
        <f>='服务进度表-交付实施'!M23</f>
        <v>46100</v>
      </c>
      <c r="H23" s="9">
        <f>=WORKDAY(E23,5)</f>
        <v>46093</v>
      </c>
      <c r="I23" s="9">
        <f>=WORKDAY(H23,1)</f>
        <v>46094</v>
      </c>
      <c r="J23" s="9">
        <f>=WORKDAY(I23,5)</f>
        <v>46101</v>
      </c>
      <c r="K23" s="9">
        <f>=WORKDAY(H23,5)</f>
        <v>46100</v>
      </c>
    </row>
    <row r="24" spans="1:11">
      <c r="A24" s="7">
        <f>='服务进度表-交付实施'!A24</f>
        <v>23</v>
      </c>
      <c r="B24" s="7" t="s"/>
      <c r="C24" s="7" t="s">
        <f>='服务进度表-交付实施'!C24</f>
        <v>45</v>
      </c>
      <c r="D24" s="8" t="s">
        <f>='服务进度表-交付实施'!D24</f>
        <v>12</v>
      </c>
      <c r="E24" s="8">
        <f>='服务进度表-交付实施'!J24</f>
        <v>46084</v>
      </c>
      <c r="F24" s="8" t="s">
        <f>='服务进度表-交付实施'!L24</f>
        <v>35</v>
      </c>
      <c r="G24" s="8">
        <f>='服务进度表-交付实施'!M24</f>
        <v>46086</v>
      </c>
      <c r="H24" s="9">
        <f>=WORKDAY(E24,5)</f>
        <v>46091</v>
      </c>
      <c r="I24" s="9">
        <f>=WORKDAY(H24,1)</f>
        <v>46092</v>
      </c>
      <c r="J24" s="9">
        <f>=WORKDAY(I24,5)</f>
        <v>46099</v>
      </c>
      <c r="K24" s="9">
        <f>=WORKDAY(H24,5)</f>
        <v>46098</v>
      </c>
    </row>
    <row r="25" spans="1:11">
      <c r="A25" s="7">
        <f>='服务进度表-交付实施'!A25</f>
        <v>24</v>
      </c>
      <c r="B25" s="7" t="s"/>
      <c r="C25" s="7" t="s">
        <f>='服务进度表-交付实施'!C25</f>
        <v>46</v>
      </c>
      <c r="D25" s="8" t="s">
        <f>='服务进度表-交付实施'!D25</f>
        <v>12</v>
      </c>
      <c r="E25" s="8">
        <f>='服务进度表-交付实施'!J25</f>
        <v>46111</v>
      </c>
      <c r="F25" s="8" t="s">
        <f>='服务进度表-交付实施'!L25</f>
        <v>26</v>
      </c>
      <c r="G25" s="8">
        <f>='服务进度表-交付实施'!M25</f>
        <v>0</v>
      </c>
      <c r="H25" s="9">
        <f>=WORKDAY(E25,5)</f>
        <v>46118</v>
      </c>
      <c r="I25" s="9">
        <f>=WORKDAY(H25,1)</f>
        <v>46119</v>
      </c>
      <c r="J25" s="9">
        <f>=WORKDAY(I25,5)</f>
        <v>46126</v>
      </c>
      <c r="K25" s="9">
        <f>=WORKDAY(H25,5)</f>
        <v>46125</v>
      </c>
    </row>
    <row r="26" spans="1:11">
      <c r="A26" s="7">
        <f>='服务进度表-交付实施'!A26</f>
        <v>25</v>
      </c>
      <c r="B26" s="7" t="s"/>
      <c r="C26" s="7" t="s">
        <f>='服务进度表-交付实施'!C26</f>
        <v>47</v>
      </c>
      <c r="D26" s="8" t="s">
        <f>='服务进度表-交付实施'!D26</f>
        <v>12</v>
      </c>
      <c r="E26" s="8">
        <f>='服务进度表-交付实施'!J26</f>
        <v>46087</v>
      </c>
      <c r="F26" s="8" t="s">
        <f>='服务进度表-交付实施'!L26</f>
        <v>48</v>
      </c>
      <c r="G26" s="8">
        <f>='服务进度表-交付实施'!M26</f>
        <v>46104</v>
      </c>
      <c r="H26" s="9">
        <f>=WORKDAY(E26,5)</f>
        <v>46094</v>
      </c>
      <c r="I26" s="9">
        <f>=WORKDAY(H26,1)</f>
        <v>46097</v>
      </c>
      <c r="J26" s="9">
        <f>=WORKDAY(I26,5)</f>
        <v>46104</v>
      </c>
      <c r="K26" s="9">
        <f>=WORKDAY(H26,5)</f>
        <v>46101</v>
      </c>
    </row>
    <row r="27" spans="1:11">
      <c r="A27" s="7">
        <f>='服务进度表-交付实施'!A27</f>
        <v>26</v>
      </c>
      <c r="B27" s="7" t="s"/>
      <c r="C27" s="7" t="s">
        <f>='服务进度表-交付实施'!C27</f>
        <v>49</v>
      </c>
      <c r="D27" s="8" t="s">
        <f>='服务进度表-交付实施'!D27</f>
        <v>15</v>
      </c>
      <c r="E27" s="8">
        <f>='服务进度表-交付实施'!J27</f>
        <v>46091</v>
      </c>
      <c r="F27" s="8" t="s">
        <f>='服务进度表-交付实施'!L27</f>
        <v>50</v>
      </c>
      <c r="G27" s="8">
        <f>='服务进度表-交付实施'!M27</f>
        <v>46105</v>
      </c>
      <c r="H27" s="9">
        <f>=WORKDAY(E27,5)</f>
        <v>46098</v>
      </c>
      <c r="I27" s="9">
        <f>=WORKDAY(H27,1)</f>
        <v>46099</v>
      </c>
      <c r="J27" s="9">
        <f>=WORKDAY(I27,5)</f>
        <v>46106</v>
      </c>
      <c r="K27" s="9">
        <f>=WORKDAY(H27,5)</f>
        <v>46105</v>
      </c>
    </row>
    <row r="28" spans="1:11">
      <c r="A28" s="7">
        <f>='服务进度表-交付实施'!A28</f>
        <v>27</v>
      </c>
      <c r="B28" s="7" t="s"/>
      <c r="C28" s="7" t="s">
        <f>='服务进度表-交付实施'!C28</f>
        <v>51</v>
      </c>
      <c r="D28" s="8" t="s">
        <f>='服务进度表-交付实施'!D28</f>
        <v>12</v>
      </c>
      <c r="E28" s="8">
        <f>='服务进度表-交付实施'!J28</f>
        <v>46098</v>
      </c>
      <c r="F28" s="8" t="s">
        <f>='服务进度表-交付实施'!L28</f>
        <v>26</v>
      </c>
      <c r="G28" s="8">
        <f>='服务进度表-交付实施'!M28</f>
        <v>46106</v>
      </c>
      <c r="H28" s="9">
        <f>=WORKDAY(E28,5)</f>
        <v>46105</v>
      </c>
      <c r="I28" s="9">
        <f>=WORKDAY(H28,1)</f>
        <v>46106</v>
      </c>
      <c r="J28" s="9">
        <f>=WORKDAY(I28,5)</f>
        <v>46113</v>
      </c>
      <c r="K28" s="9">
        <f>=WORKDAY(H28,5)</f>
        <v>46112</v>
      </c>
    </row>
    <row r="29" spans="1:11">
      <c r="A29" s="7">
        <f>='服务进度表-交付实施'!A29</f>
        <v>28</v>
      </c>
      <c r="B29" s="7" t="s"/>
      <c r="C29" s="7" t="s">
        <f>='服务进度表-交付实施'!C29</f>
        <v>52</v>
      </c>
      <c r="D29" s="8" t="s">
        <f>='服务进度表-交付实施'!D29</f>
        <v>12</v>
      </c>
      <c r="E29" s="8">
        <f>='服务进度表-交付实施'!J29</f>
        <v>46100</v>
      </c>
      <c r="F29" s="8" t="s">
        <f>='服务进度表-交付实施'!L29</f>
        <v>26</v>
      </c>
      <c r="G29" s="8">
        <f>='服务进度表-交付实施'!M29</f>
        <v>46111</v>
      </c>
      <c r="H29" s="9">
        <f>=WORKDAY(E29,5)</f>
        <v>46107</v>
      </c>
      <c r="I29" s="9">
        <f>=WORKDAY(H29,1)</f>
        <v>46108</v>
      </c>
      <c r="J29" s="9">
        <f>=WORKDAY(I29,5)</f>
        <v>46115</v>
      </c>
      <c r="K29" s="9">
        <f>=WORKDAY(H29,5)</f>
        <v>46114</v>
      </c>
    </row>
    <row r="30" spans="1:11">
      <c r="A30" s="7">
        <f>='服务进度表-交付实施'!A30</f>
        <v>29</v>
      </c>
      <c r="B30" s="7" t="s"/>
      <c r="C30" s="7" t="s">
        <f>='服务进度表-交付实施'!C30</f>
        <v>53</v>
      </c>
      <c r="D30" s="8" t="s">
        <f>='服务进度表-交付实施'!D30</f>
        <v>15</v>
      </c>
      <c r="E30" s="8">
        <f>='服务进度表-交付实施'!J30</f>
        <v>46085</v>
      </c>
      <c r="F30" s="8" t="s">
        <f>='服务进度表-交付实施'!L30</f>
        <v>54</v>
      </c>
      <c r="G30" s="8">
        <f>='服务进度表-交付实施'!M30</f>
        <v>46097</v>
      </c>
      <c r="H30" s="9">
        <f>=WORKDAY(E30,5)</f>
        <v>46092</v>
      </c>
      <c r="I30" s="9">
        <f>=WORKDAY(H30,1)</f>
        <v>46093</v>
      </c>
      <c r="J30" s="9">
        <f>=WORKDAY(I30,5)</f>
        <v>46100</v>
      </c>
      <c r="K30" s="9">
        <f>=WORKDAY(H30,5)</f>
        <v>46099</v>
      </c>
    </row>
    <row r="31" spans="1:11">
      <c r="A31" s="7">
        <f>='服务进度表-交付实施'!A31</f>
        <v>30</v>
      </c>
      <c r="B31" s="7" t="s"/>
      <c r="C31" s="7" t="s">
        <f>='服务进度表-交付实施'!C31</f>
        <v>55</v>
      </c>
      <c r="D31" s="8" t="s">
        <f>='服务进度表-交付实施'!D31</f>
        <v>15</v>
      </c>
      <c r="E31" s="8">
        <f>='服务进度表-交付实施'!J31</f>
        <v>46086</v>
      </c>
      <c r="F31" s="8" t="s">
        <f>='服务进度表-交付实施'!L31</f>
        <v>56</v>
      </c>
      <c r="G31" s="8">
        <f>='服务进度表-交付实施'!M31</f>
        <v>46092</v>
      </c>
      <c r="H31" s="9">
        <f>=WORKDAY(E31,5)</f>
        <v>46093</v>
      </c>
      <c r="I31" s="9">
        <f>=WORKDAY(H31,1)</f>
        <v>46094</v>
      </c>
      <c r="J31" s="9">
        <f>=WORKDAY(I31,5)</f>
        <v>46101</v>
      </c>
      <c r="K31" s="9">
        <f>=WORKDAY(H31,5)</f>
        <v>46100</v>
      </c>
    </row>
    <row r="32" spans="1:11">
      <c r="A32" s="7">
        <f>='服务进度表-交付实施'!A32</f>
        <v>31</v>
      </c>
      <c r="B32" s="7" t="s"/>
      <c r="C32" s="7" t="s">
        <f>='服务进度表-交付实施'!C32</f>
        <v>57</v>
      </c>
      <c r="D32" s="8" t="s">
        <f>='服务进度表-交付实施'!D32</f>
        <v>12</v>
      </c>
      <c r="E32" s="8">
        <f>='服务进度表-交付实施'!J32</f>
        <v>46087</v>
      </c>
      <c r="F32" s="8" t="s">
        <f>='服务进度表-交付实施'!L32</f>
        <v>18</v>
      </c>
      <c r="G32" s="8">
        <f>='服务进度表-交付实施'!M32</f>
        <v>46093</v>
      </c>
      <c r="H32" s="9">
        <f>=WORKDAY(E32,5)</f>
        <v>46094</v>
      </c>
      <c r="I32" s="9">
        <f>=WORKDAY(H32,1)</f>
        <v>46097</v>
      </c>
      <c r="J32" s="9">
        <f>=WORKDAY(I32,5)</f>
        <v>46104</v>
      </c>
      <c r="K32" s="9">
        <f>=WORKDAY(H32,5)</f>
        <v>46101</v>
      </c>
    </row>
    <row r="33" spans="1:11">
      <c r="A33" s="7">
        <f>='服务进度表-交付实施'!A33</f>
        <v>32</v>
      </c>
      <c r="B33" s="7" t="s"/>
      <c r="C33" s="7" t="s">
        <f>='服务进度表-交付实施'!C33</f>
        <v>58</v>
      </c>
      <c r="D33" s="8" t="s">
        <f>='服务进度表-交付实施'!D33</f>
        <v>12</v>
      </c>
      <c r="E33" s="8">
        <f>='服务进度表-交付实施'!J33</f>
        <v>46087</v>
      </c>
      <c r="F33" s="8" t="s">
        <f>='服务进度表-交付实施'!L33</f>
        <v>18</v>
      </c>
      <c r="G33" s="8">
        <f>='服务进度表-交付实施'!M33</f>
        <v>46094</v>
      </c>
      <c r="H33" s="9">
        <f>=WORKDAY(E33,5)</f>
        <v>46094</v>
      </c>
      <c r="I33" s="9">
        <f>=WORKDAY(H33,1)</f>
        <v>46097</v>
      </c>
      <c r="J33" s="9">
        <f>=WORKDAY(I33,5)</f>
        <v>46104</v>
      </c>
      <c r="K33" s="9">
        <f>=WORKDAY(H33,5)</f>
        <v>46101</v>
      </c>
    </row>
    <row r="34" spans="1:11">
      <c r="A34" s="7">
        <f>='服务进度表-交付实施'!A34</f>
        <v>33</v>
      </c>
      <c r="B34" s="7" t="s"/>
      <c r="C34" s="7" t="s">
        <f>='服务进度表-交付实施'!C34</f>
        <v>59</v>
      </c>
      <c r="D34" s="8" t="s">
        <f>='服务进度表-交付实施'!D34</f>
        <v>12</v>
      </c>
      <c r="E34" s="8">
        <f>='服务进度表-交付实施'!J34</f>
        <v>46093</v>
      </c>
      <c r="F34" s="8" t="s">
        <f>='服务进度表-交付实施'!L34</f>
        <v>18</v>
      </c>
      <c r="G34" s="8">
        <f>='服务进度表-交付实施'!M34</f>
        <v>46097</v>
      </c>
      <c r="H34" s="9">
        <f>=WORKDAY(E34,5)</f>
        <v>46100</v>
      </c>
      <c r="I34" s="9">
        <f>=WORKDAY(H34,1)</f>
        <v>46101</v>
      </c>
      <c r="J34" s="9">
        <f>=WORKDAY(I34,5)</f>
        <v>46108</v>
      </c>
      <c r="K34" s="9">
        <f>=WORKDAY(H34,5)</f>
        <v>46107</v>
      </c>
    </row>
    <row r="35" spans="1:11">
      <c r="A35" s="7">
        <f>='服务进度表-交付实施'!A35</f>
        <v>34</v>
      </c>
      <c r="B35" s="7" t="s"/>
      <c r="C35" s="7" t="s">
        <f>='服务进度表-交付实施'!C35</f>
        <v>60</v>
      </c>
      <c r="D35" s="8" t="s">
        <f>='服务进度表-交付实施'!D35</f>
        <v>12</v>
      </c>
      <c r="E35" s="8">
        <f>='服务进度表-交付实施'!J35</f>
        <v>46087</v>
      </c>
      <c r="F35" s="8" t="s">
        <f>='服务进度表-交付实施'!L35</f>
        <v>18</v>
      </c>
      <c r="G35" s="8">
        <f>='服务进度表-交付实施'!M35</f>
        <v>46097</v>
      </c>
      <c r="H35" s="9">
        <f>=WORKDAY(E35,5)</f>
        <v>46094</v>
      </c>
      <c r="I35" s="9">
        <f>=WORKDAY(H35,1)</f>
        <v>46097</v>
      </c>
      <c r="J35" s="9">
        <f>=WORKDAY(I35,5)</f>
        <v>46104</v>
      </c>
      <c r="K35" s="9">
        <f>=WORKDAY(H35,5)</f>
        <v>46101</v>
      </c>
    </row>
    <row r="36" spans="1:11">
      <c r="A36" s="7">
        <f>='服务进度表-交付实施'!A36</f>
        <v>35</v>
      </c>
      <c r="B36" s="7" t="s"/>
      <c r="C36" s="7" t="s">
        <f>='服务进度表-交付实施'!C36</f>
        <v>61</v>
      </c>
      <c r="D36" s="8" t="s">
        <f>='服务进度表-交付实施'!D36</f>
        <v>12</v>
      </c>
      <c r="E36" s="8">
        <f>='服务进度表-交付实施'!J36</f>
        <v>46092</v>
      </c>
      <c r="F36" s="8" t="s">
        <f>='服务进度表-交付实施'!L36</f>
        <v>26</v>
      </c>
      <c r="G36" s="8">
        <f>='服务进度表-交付实施'!M36</f>
        <v>46099</v>
      </c>
      <c r="H36" s="9">
        <f>=WORKDAY(E36,5)</f>
        <v>46099</v>
      </c>
      <c r="I36" s="9">
        <f>=WORKDAY(H36,1)</f>
        <v>46100</v>
      </c>
      <c r="J36" s="9">
        <f>=WORKDAY(I36,5)</f>
        <v>46107</v>
      </c>
      <c r="K36" s="9">
        <f>=WORKDAY(H36,5)</f>
        <v>46106</v>
      </c>
    </row>
    <row r="37" spans="1:11">
      <c r="A37" s="7">
        <f>='服务进度表-交付实施'!A37</f>
        <v>36</v>
      </c>
      <c r="B37" s="7" t="s"/>
      <c r="C37" s="7" t="s">
        <f>='服务进度表-交付实施'!C37</f>
        <v>62</v>
      </c>
      <c r="D37" s="8" t="s">
        <f>='服务进度表-交付实施'!D37</f>
        <v>12</v>
      </c>
      <c r="E37" s="8">
        <f>='服务进度表-交付实施'!J37</f>
        <v>46093</v>
      </c>
      <c r="F37" s="8" t="s">
        <f>='服务进度表-交付实施'!L37</f>
        <v>18</v>
      </c>
      <c r="G37" s="8">
        <f>='服务进度表-交付实施'!M37</f>
        <v>46101</v>
      </c>
      <c r="H37" s="9">
        <f>=WORKDAY(E37,5)</f>
        <v>46100</v>
      </c>
      <c r="I37" s="9">
        <f>=WORKDAY(H37,1)</f>
        <v>46101</v>
      </c>
      <c r="J37" s="9">
        <f>=WORKDAY(I37,5)</f>
        <v>46108</v>
      </c>
      <c r="K37" s="9">
        <f>=WORKDAY(H37,5)</f>
        <v>46107</v>
      </c>
    </row>
    <row r="38" spans="1:11">
      <c r="A38" s="7">
        <f>='服务进度表-交付实施'!A38</f>
        <v>37</v>
      </c>
      <c r="B38" s="7" t="s"/>
      <c r="C38" s="7" t="s">
        <f>='服务进度表-交付实施'!C38</f>
        <v>63</v>
      </c>
      <c r="D38" s="8" t="s">
        <f>='服务进度表-交付实施'!D38</f>
        <v>12</v>
      </c>
      <c r="E38" s="8">
        <f>='服务进度表-交付实施'!J38</f>
        <v>46093</v>
      </c>
      <c r="F38" s="8" t="s">
        <f>='服务进度表-交付实施'!L38</f>
        <v>18</v>
      </c>
      <c r="G38" s="8">
        <f>='服务进度表-交付实施'!M38</f>
        <v>46099</v>
      </c>
      <c r="H38" s="9">
        <f>=WORKDAY(E38,5)</f>
        <v>46100</v>
      </c>
      <c r="I38" s="9">
        <f>=WORKDAY(H38,1)</f>
        <v>46101</v>
      </c>
      <c r="J38" s="9">
        <f>=WORKDAY(I38,5)</f>
        <v>46108</v>
      </c>
      <c r="K38" s="9">
        <f>=WORKDAY(H38,5)</f>
        <v>46107</v>
      </c>
    </row>
    <row r="39" spans="1:11">
      <c r="A39" s="7">
        <f>='服务进度表-交付实施'!A39</f>
        <v>38</v>
      </c>
      <c r="B39" s="7" t="s"/>
      <c r="C39" s="7" t="s">
        <f>='服务进度表-交付实施'!C39</f>
        <v>64</v>
      </c>
      <c r="D39" s="8" t="s">
        <f>='服务进度表-交付实施'!D39</f>
        <v>12</v>
      </c>
      <c r="E39" s="8">
        <f>='服务进度表-交付实施'!J39</f>
        <v>46097</v>
      </c>
      <c r="F39" s="8" t="s">
        <f>='服务进度表-交付实施'!L39</f>
        <v>18</v>
      </c>
      <c r="G39" s="8">
        <f>='服务进度表-交付实施'!M39</f>
        <v>46101</v>
      </c>
      <c r="H39" s="9">
        <f>=WORKDAY(E39,5)</f>
        <v>46104</v>
      </c>
      <c r="I39" s="9">
        <f>=WORKDAY(H39,1)</f>
        <v>46105</v>
      </c>
      <c r="J39" s="9">
        <f>=WORKDAY(I39,5)</f>
        <v>46112</v>
      </c>
      <c r="K39" s="9">
        <f>=WORKDAY(H39,5)</f>
        <v>46111</v>
      </c>
    </row>
    <row r="40" spans="1:11">
      <c r="A40" s="7">
        <f>='服务进度表-交付实施'!A40</f>
        <v>39</v>
      </c>
      <c r="B40" s="7" t="s"/>
      <c r="C40" s="7" t="s">
        <f>='服务进度表-交付实施'!C40</f>
        <v>65</v>
      </c>
      <c r="D40" s="8" t="s">
        <f>='服务进度表-交付实施'!D40</f>
        <v>12</v>
      </c>
      <c r="E40" s="8">
        <f>='服务进度表-交付实施'!J40</f>
        <v>0</v>
      </c>
      <c r="F40" s="8">
        <f>='服务进度表-交付实施'!L40</f>
        <v>0</v>
      </c>
      <c r="G40" s="8">
        <f>='服务进度表-交付实施'!M40</f>
        <v>0</v>
      </c>
      <c r="H40" s="9">
        <f>=WORKDAY(E40,5)</f>
        <v>6</v>
      </c>
      <c r="I40" s="9">
        <f>=WORKDAY(H40,1)</f>
        <v>9</v>
      </c>
      <c r="J40" s="9">
        <f>=WORKDAY(I40,5)</f>
        <v>16</v>
      </c>
      <c r="K40" s="9">
        <f>=WORKDAY(H40,5)</f>
        <v>13</v>
      </c>
    </row>
    <row r="41" spans="1:11">
      <c r="A41" s="7">
        <f>='服务进度表-交付实施'!A41</f>
        <v>40</v>
      </c>
      <c r="B41" s="7" t="s"/>
      <c r="C41" s="7" t="s">
        <f>='服务进度表-交付实施'!C41</f>
        <v>66</v>
      </c>
      <c r="D41" s="8" t="s">
        <f>='服务进度表-交付实施'!D41</f>
        <v>12</v>
      </c>
      <c r="E41" s="8">
        <f>='服务进度表-交付实施'!J41</f>
        <v>46121</v>
      </c>
      <c r="F41" s="8" t="s">
        <f>='服务进度表-交付实施'!L41</f>
        <v>18</v>
      </c>
      <c r="G41" s="8">
        <f>='服务进度表-交付实施'!M41</f>
        <v>0</v>
      </c>
      <c r="H41" s="9">
        <f>=WORKDAY(E41,5)</f>
        <v>46128</v>
      </c>
      <c r="I41" s="9">
        <f>=WORKDAY(H41,1)</f>
        <v>46129</v>
      </c>
      <c r="J41" s="9">
        <f>=WORKDAY(I41,5)</f>
        <v>46136</v>
      </c>
      <c r="K41" s="9">
        <f>=WORKDAY(H41,5)</f>
        <v>46135</v>
      </c>
    </row>
    <row r="42" spans="1:11">
      <c r="A42" s="7">
        <f>='服务进度表-交付实施'!A42</f>
        <v>41</v>
      </c>
      <c r="B42" s="7" t="s"/>
      <c r="C42" s="7" t="s">
        <f>='服务进度表-交付实施'!C42</f>
        <v>67</v>
      </c>
      <c r="D42" s="8" t="s">
        <f>='服务进度表-交付实施'!D42</f>
        <v>12</v>
      </c>
      <c r="E42" s="8">
        <f>='服务进度表-交付实施'!J42</f>
        <v>46097</v>
      </c>
      <c r="F42" s="8" t="s">
        <f>='服务进度表-交付实施'!L42</f>
        <v>18</v>
      </c>
      <c r="G42" s="8">
        <f>='服务进度表-交付实施'!M42</f>
        <v>46101</v>
      </c>
      <c r="H42" s="9">
        <f>=WORKDAY(E42,5)</f>
        <v>46104</v>
      </c>
      <c r="I42" s="9">
        <f>=WORKDAY(H42,1)</f>
        <v>46105</v>
      </c>
      <c r="J42" s="9">
        <f>=WORKDAY(I42,5)</f>
        <v>46112</v>
      </c>
      <c r="K42" s="9">
        <f>=WORKDAY(H42,5)</f>
        <v>46111</v>
      </c>
    </row>
    <row r="43" spans="1:11">
      <c r="A43" s="7">
        <f>='服务进度表-交付实施'!A43</f>
        <v>42</v>
      </c>
      <c r="B43" s="7" t="s"/>
      <c r="C43" s="7" t="s">
        <f>='服务进度表-交付实施'!C43</f>
        <v>68</v>
      </c>
      <c r="D43" s="8" t="s">
        <f>='服务进度表-交付实施'!D43</f>
        <v>12</v>
      </c>
      <c r="E43" s="8">
        <f>='服务进度表-交付实施'!J43</f>
        <v>46090</v>
      </c>
      <c r="F43" s="8" t="s">
        <f>='服务进度表-交付实施'!L43</f>
        <v>35</v>
      </c>
      <c r="G43" s="8">
        <f>='服务进度表-交付实施'!M43</f>
        <v>46086</v>
      </c>
      <c r="H43" s="9">
        <f>=WORKDAY(E43,5)</f>
        <v>46097</v>
      </c>
      <c r="I43" s="9">
        <f>=WORKDAY(H43,1)</f>
        <v>46098</v>
      </c>
      <c r="J43" s="9">
        <f>=WORKDAY(I43,5)</f>
        <v>46105</v>
      </c>
      <c r="K43" s="9">
        <f>=WORKDAY(H43,5)</f>
        <v>46104</v>
      </c>
    </row>
    <row r="44" spans="1:11">
      <c r="A44" s="7">
        <f>='服务进度表-交付实施'!A44</f>
        <v>43</v>
      </c>
      <c r="B44" s="7" t="s"/>
      <c r="C44" s="7" t="s">
        <f>='服务进度表-交付实施'!C44</f>
        <v>69</v>
      </c>
      <c r="D44" s="8" t="s">
        <f>='服务进度表-交付实施'!D44</f>
        <v>12</v>
      </c>
      <c r="E44" s="8">
        <f>='服务进度表-交付实施'!J44</f>
        <v>46091</v>
      </c>
      <c r="F44" s="8" t="s">
        <f>='服务进度表-交付实施'!L44</f>
        <v>26</v>
      </c>
      <c r="G44" s="8">
        <f>='服务进度表-交付实施'!M44</f>
        <v>46099</v>
      </c>
      <c r="H44" s="9">
        <f>=WORKDAY(E44,5)</f>
        <v>46098</v>
      </c>
      <c r="I44" s="9">
        <f>=WORKDAY(H44,1)</f>
        <v>46099</v>
      </c>
      <c r="J44" s="9">
        <f>=WORKDAY(I44,5)</f>
        <v>46106</v>
      </c>
      <c r="K44" s="9">
        <f>=WORKDAY(H44,5)</f>
        <v>46105</v>
      </c>
    </row>
    <row r="45" spans="1:11">
      <c r="A45" s="7">
        <f>='服务进度表-交付实施'!A45</f>
        <v>44</v>
      </c>
      <c r="B45" s="7" t="s"/>
      <c r="C45" s="7" t="s">
        <f>='服务进度表-交付实施'!C45</f>
        <v>70</v>
      </c>
      <c r="D45" s="8" t="s">
        <f>='服务进度表-交付实施'!D45</f>
        <v>12</v>
      </c>
      <c r="E45" s="8">
        <f>='服务进度表-交付实施'!J45</f>
        <v>46093</v>
      </c>
      <c r="F45" s="8" t="s">
        <f>='服务进度表-交付实施'!L45</f>
        <v>35</v>
      </c>
      <c r="G45" s="8">
        <f>='服务进度表-交付实施'!M45</f>
        <v>46108</v>
      </c>
      <c r="H45" s="9">
        <f>=WORKDAY(E45,5)</f>
        <v>46100</v>
      </c>
      <c r="I45" s="9">
        <f>=WORKDAY(H45,1)</f>
        <v>46101</v>
      </c>
      <c r="J45" s="9">
        <f>=WORKDAY(I45,5)</f>
        <v>46108</v>
      </c>
      <c r="K45" s="9">
        <f>=WORKDAY(H45,5)</f>
        <v>46107</v>
      </c>
    </row>
    <row r="46" spans="1:11">
      <c r="A46" s="7">
        <f>='服务进度表-交付实施'!A46</f>
        <v>45</v>
      </c>
      <c r="B46" s="7" t="s"/>
      <c r="C46" s="7" t="s">
        <f>='服务进度表-交付实施'!C46</f>
        <v>71</v>
      </c>
      <c r="D46" s="8" t="s">
        <f>='服务进度表-交付实施'!D46</f>
        <v>12</v>
      </c>
      <c r="E46" s="8">
        <f>='服务进度表-交付实施'!J46</f>
        <v>46091</v>
      </c>
      <c r="F46" s="8" t="s">
        <f>='服务进度表-交付实施'!L46</f>
        <v>26</v>
      </c>
      <c r="G46" s="8">
        <f>='服务进度表-交付实施'!M46</f>
        <v>46098</v>
      </c>
      <c r="H46" s="9">
        <f>=WORKDAY(E46,5)</f>
        <v>46098</v>
      </c>
      <c r="I46" s="9">
        <f>=WORKDAY(H46,1)</f>
        <v>46099</v>
      </c>
      <c r="J46" s="9">
        <f>=WORKDAY(I46,5)</f>
        <v>46106</v>
      </c>
      <c r="K46" s="9">
        <f>=WORKDAY(H46,5)</f>
        <v>46105</v>
      </c>
    </row>
    <row r="47" spans="1:11">
      <c r="A47" s="7">
        <f>='服务进度表-交付实施'!A47</f>
        <v>46</v>
      </c>
      <c r="B47" s="7" t="s"/>
      <c r="C47" s="7" t="s">
        <f>='服务进度表-交付实施'!C47</f>
        <v>72</v>
      </c>
      <c r="D47" s="8" t="s">
        <f>='服务进度表-交付实施'!D47</f>
        <v>12</v>
      </c>
      <c r="E47" s="8">
        <f>='服务进度表-交付实施'!J47</f>
        <v>46092</v>
      </c>
      <c r="F47" s="8" t="s">
        <f>='服务进度表-交付实施'!L47</f>
        <v>26</v>
      </c>
      <c r="G47" s="8">
        <f>='服务进度表-交付实施'!M47</f>
        <v>46105</v>
      </c>
      <c r="H47" s="9">
        <f>=WORKDAY(E47,5)</f>
        <v>46099</v>
      </c>
      <c r="I47" s="9">
        <f>=WORKDAY(H47,1)</f>
        <v>46100</v>
      </c>
      <c r="J47" s="9">
        <f>=WORKDAY(I47,5)</f>
        <v>46107</v>
      </c>
      <c r="K47" s="9">
        <f>=WORKDAY(H47,5)</f>
        <v>46106</v>
      </c>
    </row>
    <row r="48" spans="1:11">
      <c r="A48" s="7">
        <f>='服务进度表-交付实施'!A48</f>
        <v>47</v>
      </c>
      <c r="B48" s="7" t="s"/>
      <c r="C48" s="7" t="s">
        <f>='服务进度表-交付实施'!C48</f>
        <v>73</v>
      </c>
      <c r="D48" s="8" t="s">
        <f>='服务进度表-交付实施'!D48</f>
        <v>12</v>
      </c>
      <c r="E48" s="8">
        <f>='服务进度表-交付实施'!J48</f>
        <v>46092</v>
      </c>
      <c r="F48" s="8" t="s">
        <f>='服务进度表-交付实施'!L48</f>
        <v>26</v>
      </c>
      <c r="G48" s="8">
        <f>='服务进度表-交付实施'!M48</f>
        <v>46100</v>
      </c>
      <c r="H48" s="9">
        <f>=WORKDAY(E48,5)</f>
        <v>46099</v>
      </c>
      <c r="I48" s="9">
        <f>=WORKDAY(H48,1)</f>
        <v>46100</v>
      </c>
      <c r="J48" s="9">
        <f>=WORKDAY(I48,5)</f>
        <v>46107</v>
      </c>
      <c r="K48" s="9">
        <f>=WORKDAY(H48,5)</f>
        <v>46106</v>
      </c>
    </row>
    <row r="49" spans="1:11">
      <c r="A49" s="7">
        <f>='服务进度表-交付实施'!A49</f>
        <v>48</v>
      </c>
      <c r="B49" s="7" t="s"/>
      <c r="C49" s="7" t="s">
        <f>='服务进度表-交付实施'!C49</f>
        <v>74</v>
      </c>
      <c r="D49" s="8" t="s">
        <f>='服务进度表-交付实施'!D49</f>
        <v>12</v>
      </c>
      <c r="E49" s="8">
        <f>='服务进度表-交付实施'!J49</f>
        <v>46092</v>
      </c>
      <c r="F49" s="8" t="s">
        <f>='服务进度表-交付实施'!L49</f>
        <v>18</v>
      </c>
      <c r="G49" s="8">
        <f>='服务进度表-交付实施'!M49</f>
        <v>46097</v>
      </c>
      <c r="H49" s="9">
        <f>=WORKDAY(E49,5)</f>
        <v>46099</v>
      </c>
      <c r="I49" s="9">
        <f>=WORKDAY(H49,1)</f>
        <v>46100</v>
      </c>
      <c r="J49" s="9">
        <f>=WORKDAY(I49,5)</f>
        <v>46107</v>
      </c>
      <c r="K49" s="9">
        <f>=WORKDAY(H49,5)</f>
        <v>46106</v>
      </c>
    </row>
    <row r="50" spans="1:11">
      <c r="A50" s="7">
        <f>='服务进度表-交付实施'!A50</f>
        <v>49</v>
      </c>
      <c r="B50" s="7" t="s"/>
      <c r="C50" s="7" t="s">
        <f>='服务进度表-交付实施'!C50</f>
        <v>75</v>
      </c>
      <c r="D50" s="8" t="s">
        <f>='服务进度表-交付实施'!D50</f>
        <v>12</v>
      </c>
      <c r="E50" s="8">
        <f>='服务进度表-交付实施'!J50</f>
        <v>46101</v>
      </c>
      <c r="F50" s="8" t="s">
        <f>='服务进度表-交付实施'!L50</f>
        <v>26</v>
      </c>
      <c r="G50" s="8">
        <f>='服务进度表-交付实施'!M50</f>
        <v>46105</v>
      </c>
      <c r="H50" s="9">
        <f>=WORKDAY(E50,5)</f>
        <v>46108</v>
      </c>
      <c r="I50" s="9">
        <f>=WORKDAY(H50,1)</f>
        <v>46111</v>
      </c>
      <c r="J50" s="9">
        <f>=WORKDAY(I50,5)</f>
        <v>46118</v>
      </c>
      <c r="K50" s="9">
        <f>=WORKDAY(H50,5)</f>
        <v>46115</v>
      </c>
    </row>
    <row r="51" spans="1:11">
      <c r="A51" s="7">
        <f>='服务进度表-交付实施'!A51</f>
        <v>50</v>
      </c>
      <c r="B51" s="7" t="s"/>
      <c r="C51" s="7" t="s">
        <f>='服务进度表-交付实施'!C51</f>
        <v>76</v>
      </c>
      <c r="D51" s="8" t="s">
        <f>='服务进度表-交付实施'!D51</f>
        <v>12</v>
      </c>
      <c r="E51" s="8">
        <f>='服务进度表-交付实施'!J51</f>
        <v>46097</v>
      </c>
      <c r="F51" s="8" t="s">
        <f>='服务进度表-交付实施'!L51</f>
        <v>26</v>
      </c>
      <c r="G51" s="8">
        <f>='服务进度表-交付实施'!M51</f>
        <v>46100</v>
      </c>
      <c r="H51" s="9">
        <f>=WORKDAY(E51,5)</f>
        <v>46104</v>
      </c>
      <c r="I51" s="9">
        <f>=WORKDAY(H51,1)</f>
        <v>46105</v>
      </c>
      <c r="J51" s="9">
        <f>=WORKDAY(I51,5)</f>
        <v>46112</v>
      </c>
      <c r="K51" s="9">
        <f>=WORKDAY(H51,5)</f>
        <v>46111</v>
      </c>
    </row>
    <row r="52" spans="1:11">
      <c r="A52" s="7">
        <f>='服务进度表-交付实施'!A52</f>
        <v>51</v>
      </c>
      <c r="B52" s="7" t="s"/>
      <c r="C52" s="7" t="s">
        <f>='服务进度表-交付实施'!C52</f>
        <v>77</v>
      </c>
      <c r="D52" s="8" t="s">
        <f>='服务进度表-交付实施'!D52</f>
        <v>12</v>
      </c>
      <c r="E52" s="8">
        <f>='服务进度表-交付实施'!J52</f>
        <v>46092</v>
      </c>
      <c r="F52" s="8" t="s">
        <f>='服务进度表-交付实施'!L52</f>
        <v>35</v>
      </c>
      <c r="G52" s="8">
        <f>='服务进度表-交付实施'!M52</f>
        <v>46105</v>
      </c>
      <c r="H52" s="9">
        <f>=WORKDAY(E52,5)</f>
        <v>46099</v>
      </c>
      <c r="I52" s="9">
        <f>=WORKDAY(H52,1)</f>
        <v>46100</v>
      </c>
      <c r="J52" s="9">
        <f>=WORKDAY(I52,5)</f>
        <v>46107</v>
      </c>
      <c r="K52" s="9">
        <f>=WORKDAY(H52,5)</f>
        <v>46106</v>
      </c>
    </row>
    <row r="53" spans="1:11">
      <c r="A53" s="7">
        <f>='服务进度表-交付实施'!A53</f>
        <v>52</v>
      </c>
      <c r="B53" s="7" t="s"/>
      <c r="C53" s="7" t="s">
        <f>='服务进度表-交付实施'!C53</f>
        <v>78</v>
      </c>
      <c r="D53" s="8" t="s">
        <f>='服务进度表-交付实施'!D53</f>
        <v>12</v>
      </c>
      <c r="E53" s="8">
        <f>='服务进度表-交付实施'!J53</f>
        <v>46112</v>
      </c>
      <c r="F53" s="8" t="s">
        <f>='服务进度表-交付实施'!L53</f>
        <v>26</v>
      </c>
      <c r="G53" s="8">
        <f>='服务进度表-交付实施'!M53</f>
        <v>46122</v>
      </c>
      <c r="H53" s="9">
        <f>=WORKDAY(E53,5)</f>
        <v>46119</v>
      </c>
      <c r="I53" s="9">
        <f>=WORKDAY(H53,1)</f>
        <v>46120</v>
      </c>
      <c r="J53" s="9">
        <f>=WORKDAY(I53,5)</f>
        <v>46127</v>
      </c>
      <c r="K53" s="9">
        <f>=WORKDAY(H53,5)</f>
        <v>46126</v>
      </c>
    </row>
    <row r="54" spans="1:11">
      <c r="A54" s="7">
        <f>='服务进度表-交付实施'!A54</f>
        <v>53</v>
      </c>
      <c r="B54" s="7" t="s"/>
      <c r="C54" s="7" t="s">
        <f>='服务进度表-交付实施'!C54</f>
        <v>79</v>
      </c>
      <c r="D54" s="8" t="s">
        <f>='服务进度表-交付实施'!D54</f>
        <v>12</v>
      </c>
      <c r="E54" s="8">
        <f>='服务进度表-交付实施'!J54</f>
        <v>46097</v>
      </c>
      <c r="F54" s="8" t="s">
        <f>='服务进度表-交付实施'!L54</f>
        <v>26</v>
      </c>
      <c r="G54" s="8">
        <f>='服务进度表-交付实施'!M54</f>
        <v>46101</v>
      </c>
      <c r="H54" s="9">
        <f>=WORKDAY(E54,5)</f>
        <v>46104</v>
      </c>
      <c r="I54" s="9">
        <f>=WORKDAY(H54,1)</f>
        <v>46105</v>
      </c>
      <c r="J54" s="9">
        <f>=WORKDAY(I54,5)</f>
        <v>46112</v>
      </c>
      <c r="K54" s="9">
        <f>=WORKDAY(H54,5)</f>
        <v>46111</v>
      </c>
    </row>
    <row r="55" spans="1:11">
      <c r="A55" s="7">
        <f>='服务进度表-交付实施'!A55</f>
        <v>54</v>
      </c>
      <c r="B55" s="7" t="s"/>
      <c r="C55" s="7" t="s">
        <f>='服务进度表-交付实施'!C55</f>
        <v>80</v>
      </c>
      <c r="D55" s="8" t="s">
        <f>='服务进度表-交付实施'!D55</f>
        <v>12</v>
      </c>
      <c r="E55" s="8">
        <f>='服务进度表-交付实施'!J55</f>
        <v>46100</v>
      </c>
      <c r="F55" s="8" t="s">
        <f>='服务进度表-交付实施'!L55</f>
        <v>26</v>
      </c>
      <c r="G55" s="8">
        <f>='服务进度表-交付实施'!M55</f>
        <v>46105</v>
      </c>
      <c r="H55" s="9">
        <f>=WORKDAY(E55,5)</f>
        <v>46107</v>
      </c>
      <c r="I55" s="9">
        <f>=WORKDAY(H55,1)</f>
        <v>46108</v>
      </c>
      <c r="J55" s="9">
        <f>=WORKDAY(I55,5)</f>
        <v>46115</v>
      </c>
      <c r="K55" s="9">
        <f>=WORKDAY(H55,5)</f>
        <v>46114</v>
      </c>
    </row>
    <row r="56" spans="1:11">
      <c r="A56" s="7">
        <f>='服务进度表-交付实施'!A56</f>
        <v>55</v>
      </c>
      <c r="B56" s="7" t="s"/>
      <c r="C56" s="7" t="s">
        <f>='服务进度表-交付实施'!C56</f>
        <v>81</v>
      </c>
      <c r="D56" s="8" t="s">
        <f>='服务进度表-交付实施'!D56</f>
        <v>12</v>
      </c>
      <c r="E56" s="8">
        <f>='服务进度表-交付实施'!J56</f>
        <v>46106</v>
      </c>
      <c r="F56" s="8" t="s">
        <f>='服务进度表-交付实施'!L56</f>
        <v>26</v>
      </c>
      <c r="G56" s="8">
        <f>='服务进度表-交付实施'!M56</f>
        <v>46120</v>
      </c>
      <c r="H56" s="9">
        <f>=WORKDAY(E56,5)</f>
        <v>46113</v>
      </c>
      <c r="I56" s="9">
        <f>=WORKDAY(H56,1)</f>
        <v>46114</v>
      </c>
      <c r="J56" s="9">
        <f>=WORKDAY(I56,5)</f>
        <v>46121</v>
      </c>
      <c r="K56" s="9">
        <f>=WORKDAY(H56,5)</f>
        <v>46120</v>
      </c>
    </row>
    <row r="57" spans="1:11">
      <c r="A57" s="7">
        <f>='服务进度表-交付实施'!A57</f>
        <v>56</v>
      </c>
      <c r="B57" s="7" t="s"/>
      <c r="C57" s="7" t="s">
        <f>='服务进度表-交付实施'!C57</f>
        <v>82</v>
      </c>
      <c r="D57" s="8" t="s">
        <f>='服务进度表-交付实施'!D57</f>
        <v>12</v>
      </c>
      <c r="E57" s="8">
        <f>='服务进度表-交付实施'!J57</f>
        <v>46099</v>
      </c>
      <c r="F57" s="8" t="s">
        <f>='服务进度表-交付实施'!L57</f>
        <v>18</v>
      </c>
      <c r="G57" s="8">
        <f>='服务进度表-交付实施'!M57</f>
        <v>46112</v>
      </c>
      <c r="H57" s="9">
        <f>=WORKDAY(E57,5)</f>
        <v>46106</v>
      </c>
      <c r="I57" s="9">
        <f>=WORKDAY(H57,1)</f>
        <v>46107</v>
      </c>
      <c r="J57" s="9">
        <f>=WORKDAY(I57,5)</f>
        <v>46114</v>
      </c>
      <c r="K57" s="9">
        <f>=WORKDAY(H57,5)</f>
        <v>46113</v>
      </c>
    </row>
    <row r="58" spans="1:11">
      <c r="A58" s="7">
        <f>='服务进度表-交付实施'!A58</f>
        <v>57</v>
      </c>
      <c r="B58" s="7" t="s"/>
      <c r="C58" s="7" t="s">
        <f>='服务进度表-交付实施'!C58</f>
        <v>83</v>
      </c>
      <c r="D58" s="8" t="s">
        <f>='服务进度表-交付实施'!D58</f>
        <v>12</v>
      </c>
      <c r="E58" s="8">
        <f>='服务进度表-交付实施'!J58</f>
        <v>46099</v>
      </c>
      <c r="F58" s="8" t="s">
        <f>='服务进度表-交付实施'!L58</f>
        <v>18</v>
      </c>
      <c r="G58" s="8">
        <f>='服务进度表-交付实施'!M58</f>
        <v>46106</v>
      </c>
      <c r="H58" s="9">
        <f>=WORKDAY(E58,5)</f>
        <v>46106</v>
      </c>
      <c r="I58" s="9">
        <f>=WORKDAY(H58,1)</f>
        <v>46107</v>
      </c>
      <c r="J58" s="9">
        <f>=WORKDAY(I58,5)</f>
        <v>46114</v>
      </c>
      <c r="K58" s="9">
        <f>=WORKDAY(H58,5)</f>
        <v>46113</v>
      </c>
    </row>
    <row r="59" spans="1:11">
      <c r="A59" s="7">
        <f>='服务进度表-交付实施'!A59</f>
        <v>58</v>
      </c>
      <c r="B59" s="7" t="s"/>
      <c r="C59" s="7" t="s">
        <f>='服务进度表-交付实施'!C59</f>
        <v>84</v>
      </c>
      <c r="D59" s="8" t="s">
        <f>='服务进度表-交付实施'!D59</f>
        <v>12</v>
      </c>
      <c r="E59" s="8">
        <f>='服务进度表-交付实施'!J59</f>
        <v>46098</v>
      </c>
      <c r="F59" s="8" t="s">
        <f>='服务进度表-交付实施'!L59</f>
        <v>35</v>
      </c>
      <c r="G59" s="8">
        <f>='服务进度表-交付实施'!M59</f>
        <v>46113</v>
      </c>
      <c r="H59" s="9">
        <f>=WORKDAY(E59,5)</f>
        <v>46105</v>
      </c>
      <c r="I59" s="9">
        <f>=WORKDAY(H59,1)</f>
        <v>46106</v>
      </c>
      <c r="J59" s="9">
        <f>=WORKDAY(I59,5)</f>
        <v>46113</v>
      </c>
      <c r="K59" s="9">
        <f>=WORKDAY(H59,5)</f>
        <v>46112</v>
      </c>
    </row>
    <row r="60" spans="1:11">
      <c r="A60" s="7">
        <f>='服务进度表-交付实施'!A60</f>
        <v>59</v>
      </c>
      <c r="B60" s="7" t="s"/>
      <c r="C60" s="7" t="s">
        <f>='服务进度表-交付实施'!C60</f>
        <v>85</v>
      </c>
      <c r="D60" s="8" t="s">
        <f>='服务进度表-交付实施'!D60</f>
        <v>12</v>
      </c>
      <c r="E60" s="8">
        <f>='服务进度表-交付实施'!J60</f>
        <v>46101</v>
      </c>
      <c r="F60" s="8" t="s">
        <f>='服务进度表-交付实施'!L60</f>
        <v>26</v>
      </c>
      <c r="G60" s="8">
        <f>='服务进度表-交付实施'!M60</f>
        <v>46121</v>
      </c>
      <c r="H60" s="9">
        <f>=WORKDAY(E60,5)</f>
        <v>46108</v>
      </c>
      <c r="I60" s="9">
        <f>=WORKDAY(H60,1)</f>
        <v>46111</v>
      </c>
      <c r="J60" s="9">
        <f>=WORKDAY(I60,5)</f>
        <v>46118</v>
      </c>
      <c r="K60" s="9">
        <f>=WORKDAY(H60,5)</f>
        <v>46115</v>
      </c>
    </row>
    <row r="61" spans="1:11">
      <c r="A61" s="7">
        <f>='服务进度表-交付实施'!A61</f>
        <v>60</v>
      </c>
      <c r="B61" s="7" t="s"/>
      <c r="C61" s="7" t="s">
        <f>='服务进度表-交付实施'!C61</f>
        <v>86</v>
      </c>
      <c r="D61" s="8" t="s">
        <f>='服务进度表-交付实施'!D61</f>
        <v>15</v>
      </c>
      <c r="E61" s="8">
        <f>='服务进度表-交付实施'!J61</f>
        <v>46098</v>
      </c>
      <c r="F61" s="8" t="s">
        <f>='服务进度表-交付实施'!L61</f>
        <v>87</v>
      </c>
      <c r="G61" s="8">
        <f>='服务进度表-交付实施'!M61</f>
        <v>46106</v>
      </c>
      <c r="H61" s="9">
        <f>=WORKDAY(E61,5)</f>
        <v>46105</v>
      </c>
      <c r="I61" s="9">
        <f>=WORKDAY(H61,1)</f>
        <v>46106</v>
      </c>
      <c r="J61" s="9">
        <f>=WORKDAY(I61,5)</f>
        <v>46113</v>
      </c>
      <c r="K61" s="9">
        <f>=WORKDAY(H61,5)</f>
        <v>46112</v>
      </c>
    </row>
    <row r="62" spans="1:11">
      <c r="A62" s="7">
        <f>='服务进度表-交付实施'!A62</f>
        <v>61</v>
      </c>
      <c r="B62" s="7" t="s"/>
      <c r="C62" s="7" t="s">
        <f>='服务进度表-交付实施'!C62</f>
        <v>88</v>
      </c>
      <c r="D62" s="8" t="s">
        <f>='服务进度表-交付实施'!D62</f>
        <v>15</v>
      </c>
      <c r="E62" s="8">
        <f>='服务进度表-交付实施'!J62</f>
        <v>46097</v>
      </c>
      <c r="F62" s="8" t="s">
        <f>='服务进度表-交付实施'!L62</f>
        <v>89</v>
      </c>
      <c r="G62" s="8">
        <f>='服务进度表-交付实施'!M62</f>
        <v>46104</v>
      </c>
      <c r="H62" s="9">
        <f>=WORKDAY(E62,5)</f>
        <v>46104</v>
      </c>
      <c r="I62" s="9">
        <f>=WORKDAY(H62,1)</f>
        <v>46105</v>
      </c>
      <c r="J62" s="9">
        <f>=WORKDAY(I62,5)</f>
        <v>46112</v>
      </c>
      <c r="K62" s="9">
        <f>=WORKDAY(H62,5)</f>
        <v>46111</v>
      </c>
    </row>
    <row r="63" spans="1:11">
      <c r="A63" s="7">
        <f>='服务进度表-交付实施'!A63</f>
        <v>62</v>
      </c>
      <c r="B63" s="7" t="s"/>
      <c r="C63" s="7" t="s">
        <f>='服务进度表-交付实施'!C63</f>
        <v>90</v>
      </c>
      <c r="D63" s="8" t="s">
        <f>='服务进度表-交付实施'!D63</f>
        <v>12</v>
      </c>
      <c r="E63" s="8">
        <f>='服务进度表-交付实施'!J63</f>
        <v>46097</v>
      </c>
      <c r="F63" s="8" t="s">
        <f>='服务进度表-交付实施'!L63</f>
        <v>26</v>
      </c>
      <c r="G63" s="8">
        <f>='服务进度表-交付实施'!M63</f>
        <v>46104</v>
      </c>
      <c r="H63" s="9">
        <f>=WORKDAY(E63,5)</f>
        <v>46104</v>
      </c>
      <c r="I63" s="9">
        <f>=WORKDAY(H63,1)</f>
        <v>46105</v>
      </c>
      <c r="J63" s="9">
        <f>=WORKDAY(I63,5)</f>
        <v>46112</v>
      </c>
      <c r="K63" s="9">
        <f>=WORKDAY(H63,5)</f>
        <v>46111</v>
      </c>
    </row>
    <row r="64" spans="1:11">
      <c r="A64" s="7">
        <f>='服务进度表-交付实施'!A64</f>
        <v>63</v>
      </c>
      <c r="B64" s="7" t="s"/>
      <c r="C64" s="7" t="s">
        <f>='服务进度表-交付实施'!C64</f>
        <v>91</v>
      </c>
      <c r="D64" s="8" t="s">
        <f>='服务进度表-交付实施'!D64</f>
        <v>12</v>
      </c>
      <c r="E64" s="8">
        <f>='服务进度表-交付实施'!J64</f>
        <v>46099</v>
      </c>
      <c r="F64" s="8" t="s">
        <f>='服务进度表-交付实施'!L64</f>
        <v>26</v>
      </c>
      <c r="G64" s="8">
        <f>='服务进度表-交付实施'!M64</f>
        <v>46114</v>
      </c>
      <c r="H64" s="9">
        <f>=WORKDAY(E64,5)</f>
        <v>46106</v>
      </c>
      <c r="I64" s="9">
        <f>=WORKDAY(H64,1)</f>
        <v>46107</v>
      </c>
      <c r="J64" s="9">
        <f>=WORKDAY(I64,5)</f>
        <v>46114</v>
      </c>
      <c r="K64" s="9">
        <f>=WORKDAY(H64,5)</f>
        <v>46113</v>
      </c>
    </row>
    <row r="65" spans="1:11">
      <c r="A65" s="7">
        <f>='服务进度表-交付实施'!A65</f>
        <v>64</v>
      </c>
      <c r="B65" s="7" t="s"/>
      <c r="C65" s="7" t="s">
        <f>='服务进度表-交付实施'!C65</f>
        <v>92</v>
      </c>
      <c r="D65" s="8" t="s">
        <f>='服务进度表-交付实施'!D65</f>
        <v>12</v>
      </c>
      <c r="E65" s="8">
        <f>='服务进度表-交付实施'!J65</f>
        <v>46097</v>
      </c>
      <c r="F65" s="8" t="s">
        <f>='服务进度表-交付实施'!L65</f>
        <v>35</v>
      </c>
      <c r="G65" s="8">
        <f>='服务进度表-交付实施'!M65</f>
        <v>46111</v>
      </c>
      <c r="H65" s="9">
        <f>=WORKDAY(E65,5)</f>
        <v>46104</v>
      </c>
      <c r="I65" s="9">
        <f>=WORKDAY(H65,1)</f>
        <v>46105</v>
      </c>
      <c r="J65" s="9">
        <f>=WORKDAY(I65,5)</f>
        <v>46112</v>
      </c>
      <c r="K65" s="9">
        <f>=WORKDAY(H65,5)</f>
        <v>46111</v>
      </c>
    </row>
    <row r="66" spans="1:11">
      <c r="A66" s="7">
        <f>='服务进度表-交付实施'!A66</f>
        <v>65</v>
      </c>
      <c r="B66" s="7" t="s"/>
      <c r="C66" s="7" t="s">
        <f>='服务进度表-交付实施'!C66</f>
        <v>93</v>
      </c>
      <c r="D66" s="8" t="s">
        <f>='服务进度表-交付实施'!D66</f>
        <v>12</v>
      </c>
      <c r="E66" s="8">
        <f>='服务进度表-交付实施'!J66</f>
        <v>0</v>
      </c>
      <c r="F66" s="8">
        <f>='服务进度表-交付实施'!L66</f>
        <v>0</v>
      </c>
      <c r="G66" s="8">
        <f>='服务进度表-交付实施'!M66</f>
        <v>0</v>
      </c>
      <c r="H66" s="9">
        <f>=WORKDAY(E66,5)</f>
        <v>6</v>
      </c>
      <c r="I66" s="9">
        <f>=WORKDAY(H66,1)</f>
        <v>9</v>
      </c>
      <c r="J66" s="9">
        <f>=WORKDAY(I66,5)</f>
        <v>16</v>
      </c>
      <c r="K66" s="9">
        <f>=WORKDAY(H66,5)</f>
        <v>13</v>
      </c>
    </row>
    <row r="67" spans="1:11">
      <c r="A67" s="7">
        <f>='服务进度表-交付实施'!A67</f>
        <v>66</v>
      </c>
      <c r="B67" s="7" t="s"/>
      <c r="C67" s="7" t="s">
        <f>='服务进度表-交付实施'!C67</f>
        <v>94</v>
      </c>
      <c r="D67" s="8" t="s">
        <f>='服务进度表-交付实施'!D67</f>
        <v>15</v>
      </c>
      <c r="E67" s="8">
        <f>='服务进度表-交付实施'!J67</f>
        <v>46112</v>
      </c>
      <c r="F67" s="8" t="s">
        <f>='服务进度表-交付实施'!L67</f>
        <v>95</v>
      </c>
      <c r="G67" s="8">
        <f>='服务进度表-交付实施'!M67</f>
        <v>0</v>
      </c>
      <c r="H67" s="9">
        <f>=WORKDAY(E67,5)</f>
        <v>46119</v>
      </c>
      <c r="I67" s="9">
        <f>=WORKDAY(H67,1)</f>
        <v>46120</v>
      </c>
      <c r="J67" s="9">
        <f>=WORKDAY(I67,5)</f>
        <v>46127</v>
      </c>
      <c r="K67" s="9">
        <f>=WORKDAY(H67,5)</f>
        <v>46126</v>
      </c>
    </row>
    <row r="68" spans="1:11">
      <c r="A68" s="7">
        <f>='服务进度表-交付实施'!A68</f>
        <v>67</v>
      </c>
      <c r="B68" s="7" t="s"/>
      <c r="C68" s="7" t="s">
        <f>='服务进度表-交付实施'!C68</f>
        <v>96</v>
      </c>
      <c r="D68" s="8" t="s">
        <f>='服务进度表-交付实施'!D68</f>
        <v>12</v>
      </c>
      <c r="E68" s="8">
        <f>='服务进度表-交付实施'!J68</f>
        <v>0</v>
      </c>
      <c r="F68" s="8">
        <f>='服务进度表-交付实施'!L68</f>
        <v>0</v>
      </c>
      <c r="G68" s="8">
        <f>='服务进度表-交付实施'!M68</f>
        <v>0</v>
      </c>
      <c r="H68" s="9">
        <f>=WORKDAY(E68,5)</f>
        <v>6</v>
      </c>
      <c r="I68" s="9">
        <f>=WORKDAY(H68,1)</f>
        <v>9</v>
      </c>
      <c r="J68" s="9">
        <f>=WORKDAY(I68,5)</f>
        <v>16</v>
      </c>
      <c r="K68" s="9">
        <f>=WORKDAY(H68,5)</f>
        <v>13</v>
      </c>
    </row>
    <row r="69" spans="1:11">
      <c r="A69" s="7">
        <f>='服务进度表-交付实施'!A69</f>
        <v>68</v>
      </c>
      <c r="B69" s="7" t="s"/>
      <c r="C69" s="7" t="s">
        <f>='服务进度表-交付实施'!C69</f>
        <v>97</v>
      </c>
      <c r="D69" s="8" t="s">
        <f>='服务进度表-交付实施'!D69</f>
        <v>12</v>
      </c>
      <c r="E69" s="8">
        <f>='服务进度表-交付实施'!J69</f>
        <v>46101</v>
      </c>
      <c r="F69" s="8" t="s">
        <f>='服务进度表-交付实施'!L69</f>
        <v>26</v>
      </c>
      <c r="G69" s="8">
        <f>='服务进度表-交付实施'!M69</f>
        <v>46106</v>
      </c>
      <c r="H69" s="9">
        <f>=WORKDAY(E69,5)</f>
        <v>46108</v>
      </c>
      <c r="I69" s="9">
        <f>=WORKDAY(H69,1)</f>
        <v>46111</v>
      </c>
      <c r="J69" s="9">
        <f>=WORKDAY(I69,5)</f>
        <v>46118</v>
      </c>
      <c r="K69" s="9">
        <f>=WORKDAY(H69,5)</f>
        <v>46115</v>
      </c>
    </row>
    <row r="70" spans="1:11">
      <c r="A70" s="7">
        <f>='服务进度表-交付实施'!A70</f>
        <v>69</v>
      </c>
      <c r="B70" s="7" t="s"/>
      <c r="C70" s="7" t="s">
        <f>='服务进度表-交付实施'!C70</f>
        <v>98</v>
      </c>
      <c r="D70" s="8" t="s">
        <f>='服务进度表-交付实施'!D70</f>
        <v>12</v>
      </c>
      <c r="E70" s="8">
        <f>='服务进度表-交付实施'!J70</f>
        <v>46099</v>
      </c>
      <c r="F70" s="8" t="s">
        <f>='服务进度表-交付实施'!L70</f>
        <v>26</v>
      </c>
      <c r="G70" s="8">
        <f>='服务进度表-交付实施'!M70</f>
        <v>46108</v>
      </c>
      <c r="H70" s="9">
        <f>=WORKDAY(E70,5)</f>
        <v>46106</v>
      </c>
      <c r="I70" s="9">
        <f>=WORKDAY(H70,1)</f>
        <v>46107</v>
      </c>
      <c r="J70" s="9">
        <f>=WORKDAY(I70,5)</f>
        <v>46114</v>
      </c>
      <c r="K70" s="9">
        <f>=WORKDAY(H70,5)</f>
        <v>46113</v>
      </c>
    </row>
    <row r="71" spans="1:11">
      <c r="A71" s="7">
        <f>='服务进度表-交付实施'!A71</f>
        <v>70</v>
      </c>
      <c r="B71" s="7" t="s"/>
      <c r="C71" s="7" t="s">
        <f>='服务进度表-交付实施'!C71</f>
        <v>99</v>
      </c>
      <c r="D71" s="8" t="s">
        <f>='服务进度表-交付实施'!D71</f>
        <v>12</v>
      </c>
      <c r="E71" s="8">
        <f>='服务进度表-交付实施'!J71</f>
        <v>46100</v>
      </c>
      <c r="F71" s="8" t="s">
        <f>='服务进度表-交付实施'!L71</f>
        <v>18</v>
      </c>
      <c r="G71" s="8">
        <f>='服务进度表-交付实施'!M71</f>
        <v>46111</v>
      </c>
      <c r="H71" s="9">
        <f>=WORKDAY(E71,5)</f>
        <v>46107</v>
      </c>
      <c r="I71" s="9">
        <f>=WORKDAY(H71,1)</f>
        <v>46108</v>
      </c>
      <c r="J71" s="9">
        <f>=WORKDAY(I71,5)</f>
        <v>46115</v>
      </c>
      <c r="K71" s="9">
        <f>=WORKDAY(H71,5)</f>
        <v>46114</v>
      </c>
    </row>
    <row r="72" spans="1:11">
      <c r="A72" s="7">
        <f>='服务进度表-交付实施'!A72</f>
        <v>71</v>
      </c>
      <c r="B72" s="7" t="s"/>
      <c r="C72" s="7" t="s">
        <f>='服务进度表-交付实施'!C72</f>
        <v>100</v>
      </c>
      <c r="D72" s="8" t="s">
        <f>='服务进度表-交付实施'!D72</f>
        <v>12</v>
      </c>
      <c r="E72" s="8">
        <f>='服务进度表-交付实施'!J72</f>
        <v>46099</v>
      </c>
      <c r="F72" s="8" t="s">
        <f>='服务进度表-交付实施'!L72</f>
        <v>26</v>
      </c>
      <c r="G72" s="8">
        <f>='服务进度表-交付实施'!M72</f>
        <v>46106</v>
      </c>
      <c r="H72" s="9">
        <f>=WORKDAY(E72,5)</f>
        <v>46106</v>
      </c>
      <c r="I72" s="9">
        <f>=WORKDAY(H72,1)</f>
        <v>46107</v>
      </c>
      <c r="J72" s="9">
        <f>=WORKDAY(I72,5)</f>
        <v>46114</v>
      </c>
      <c r="K72" s="9">
        <f>=WORKDAY(H72,5)</f>
        <v>46113</v>
      </c>
    </row>
    <row r="73" spans="1:11">
      <c r="A73" s="7">
        <f>='服务进度表-交付实施'!A73</f>
        <v>72</v>
      </c>
      <c r="B73" s="7" t="s"/>
      <c r="C73" s="7" t="s">
        <f>='服务进度表-交付实施'!C73</f>
        <v>101</v>
      </c>
      <c r="D73" s="8" t="s">
        <f>='服务进度表-交付实施'!D73</f>
        <v>15</v>
      </c>
      <c r="E73" s="8">
        <f>='服务进度表-交付实施'!J73</f>
        <v>46101</v>
      </c>
      <c r="F73" s="8" t="s">
        <f>='服务进度表-交付实施'!L73</f>
        <v>50</v>
      </c>
      <c r="G73" s="8">
        <f>='服务进度表-交付实施'!M73</f>
        <v>46105</v>
      </c>
      <c r="H73" s="9">
        <f>=WORKDAY(E73,5)</f>
        <v>46108</v>
      </c>
      <c r="I73" s="9">
        <f>=WORKDAY(H73,1)</f>
        <v>46111</v>
      </c>
      <c r="J73" s="9">
        <f>=WORKDAY(I73,5)</f>
        <v>46118</v>
      </c>
      <c r="K73" s="9">
        <f>=WORKDAY(H73,5)</f>
        <v>46115</v>
      </c>
    </row>
    <row r="74" spans="1:11">
      <c r="A74" s="7">
        <f>='服务进度表-交付实施'!A74</f>
        <v>73</v>
      </c>
      <c r="B74" s="7" t="s"/>
      <c r="C74" s="7" t="s">
        <f>='服务进度表-交付实施'!C74</f>
        <v>102</v>
      </c>
      <c r="D74" s="8" t="s">
        <f>='服务进度表-交付实施'!D74</f>
        <v>12</v>
      </c>
      <c r="E74" s="8">
        <f>='服务进度表-交付实施'!J74</f>
        <v>46100</v>
      </c>
      <c r="F74" s="8" t="s">
        <f>='服务进度表-交付实施'!L74</f>
        <v>18</v>
      </c>
      <c r="G74" s="8">
        <f>='服务进度表-交付实施'!M74</f>
        <v>46104</v>
      </c>
      <c r="H74" s="9">
        <f>=WORKDAY(E74,5)</f>
        <v>46107</v>
      </c>
      <c r="I74" s="9">
        <f>=WORKDAY(H74,1)</f>
        <v>46108</v>
      </c>
      <c r="J74" s="9">
        <f>=WORKDAY(I74,5)</f>
        <v>46115</v>
      </c>
      <c r="K74" s="9">
        <f>=WORKDAY(H74,5)</f>
        <v>46114</v>
      </c>
    </row>
    <row r="75" spans="1:11">
      <c r="A75" s="7">
        <f>='服务进度表-交付实施'!A75</f>
        <v>74</v>
      </c>
      <c r="B75" s="7" t="s"/>
      <c r="C75" s="7" t="s">
        <f>='服务进度表-交付实施'!C75</f>
        <v>103</v>
      </c>
      <c r="D75" s="8" t="s">
        <f>='服务进度表-交付实施'!D75</f>
        <v>12</v>
      </c>
      <c r="E75" s="8">
        <f>='服务进度表-交付实施'!J75</f>
        <v>46099</v>
      </c>
      <c r="F75" s="8" t="s">
        <f>='服务进度表-交付实施'!L75</f>
        <v>35</v>
      </c>
      <c r="G75" s="8">
        <f>='服务进度表-交付实施'!M75</f>
        <v>46114</v>
      </c>
      <c r="H75" s="9">
        <f>=WORKDAY(E75,5)</f>
        <v>46106</v>
      </c>
      <c r="I75" s="9">
        <f>=WORKDAY(H75,1)</f>
        <v>46107</v>
      </c>
      <c r="J75" s="9">
        <f>=WORKDAY(I75,5)</f>
        <v>46114</v>
      </c>
      <c r="K75" s="9">
        <f>=WORKDAY(H75,5)</f>
        <v>46113</v>
      </c>
    </row>
    <row r="76" spans="1:11">
      <c r="A76" s="7">
        <f>='服务进度表-交付实施'!A76</f>
        <v>75</v>
      </c>
      <c r="B76" s="7" t="s"/>
      <c r="C76" s="7" t="s">
        <f>='服务进度表-交付实施'!C76</f>
        <v>104</v>
      </c>
      <c r="D76" s="8" t="s">
        <f>='服务进度表-交付实施'!D76</f>
        <v>12</v>
      </c>
      <c r="E76" s="8">
        <f>='服务进度表-交付实施'!J76</f>
        <v>46104</v>
      </c>
      <c r="F76" s="8" t="s">
        <f>='服务进度表-交付实施'!L76</f>
        <v>26</v>
      </c>
      <c r="G76" s="8">
        <f>='服务进度表-交付实施'!M76</f>
        <v>46108</v>
      </c>
      <c r="H76" s="9">
        <f>=WORKDAY(E76,5)</f>
        <v>46111</v>
      </c>
      <c r="I76" s="9">
        <f>=WORKDAY(H76,1)</f>
        <v>46112</v>
      </c>
      <c r="J76" s="9">
        <f>=WORKDAY(I76,5)</f>
        <v>46119</v>
      </c>
      <c r="K76" s="9">
        <f>=WORKDAY(H76,5)</f>
        <v>46118</v>
      </c>
    </row>
    <row r="77" spans="1:11">
      <c r="A77" s="7">
        <f>='服务进度表-交付实施'!A77</f>
        <v>76</v>
      </c>
      <c r="B77" s="7" t="s"/>
      <c r="C77" s="7" t="s">
        <f>='服务进度表-交付实施'!C77</f>
        <v>105</v>
      </c>
      <c r="D77" s="8" t="s">
        <f>='服务进度表-交付实施'!D77</f>
        <v>12</v>
      </c>
      <c r="E77" s="8">
        <f>='服务进度表-交付实施'!J77</f>
        <v>46120</v>
      </c>
      <c r="F77" s="8" t="s">
        <f>='服务进度表-交付实施'!L77</f>
        <v>18</v>
      </c>
      <c r="G77" s="8">
        <f>='服务进度表-交付实施'!M77</f>
        <v>0</v>
      </c>
      <c r="H77" s="9">
        <f>=WORKDAY(E77,5)</f>
        <v>46127</v>
      </c>
      <c r="I77" s="9">
        <f>=WORKDAY(H77,1)</f>
        <v>46128</v>
      </c>
      <c r="J77" s="9">
        <f>=WORKDAY(I77,5)</f>
        <v>46135</v>
      </c>
      <c r="K77" s="9">
        <f>=WORKDAY(H77,5)</f>
        <v>46134</v>
      </c>
    </row>
    <row r="78" spans="1:11">
      <c r="A78" s="7">
        <f>='服务进度表-交付实施'!A78</f>
        <v>77</v>
      </c>
      <c r="B78" s="7" t="s"/>
      <c r="C78" s="7" t="s">
        <f>='服务进度表-交付实施'!C78</f>
        <v>106</v>
      </c>
      <c r="D78" s="8" t="s">
        <f>='服务进度表-交付实施'!D78</f>
        <v>12</v>
      </c>
      <c r="E78" s="8">
        <f>='服务进度表-交付实施'!J78</f>
        <v>46100</v>
      </c>
      <c r="F78" s="8" t="s">
        <f>='服务进度表-交付实施'!L78</f>
        <v>35</v>
      </c>
      <c r="G78" s="8">
        <f>='服务进度表-交付实施'!M78</f>
        <v>46112</v>
      </c>
      <c r="H78" s="9">
        <f>=WORKDAY(E78,5)</f>
        <v>46107</v>
      </c>
      <c r="I78" s="9">
        <f>=WORKDAY(H78,1)</f>
        <v>46108</v>
      </c>
      <c r="J78" s="9">
        <f>=WORKDAY(I78,5)</f>
        <v>46115</v>
      </c>
      <c r="K78" s="9">
        <f>=WORKDAY(H78,5)</f>
        <v>46114</v>
      </c>
    </row>
    <row r="79" spans="1:11">
      <c r="A79" s="7">
        <f>='服务进度表-交付实施'!A79</f>
        <v>78</v>
      </c>
      <c r="B79" s="7" t="s"/>
      <c r="C79" s="7" t="s">
        <f>='服务进度表-交付实施'!C79</f>
        <v>107</v>
      </c>
      <c r="D79" s="8" t="s">
        <f>='服务进度表-交付实施'!D79</f>
        <v>12</v>
      </c>
      <c r="E79" s="8">
        <f>='服务进度表-交付实施'!J79</f>
        <v>46099</v>
      </c>
      <c r="F79" s="8" t="s">
        <f>='服务进度表-交付实施'!L79</f>
        <v>35</v>
      </c>
      <c r="G79" s="8">
        <f>='服务进度表-交付实施'!M79</f>
        <v>46114</v>
      </c>
      <c r="H79" s="9">
        <f>=WORKDAY(E79,5)</f>
        <v>46106</v>
      </c>
      <c r="I79" s="9">
        <f>=WORKDAY(H79,1)</f>
        <v>46107</v>
      </c>
      <c r="J79" s="9">
        <f>=WORKDAY(I79,5)</f>
        <v>46114</v>
      </c>
      <c r="K79" s="9">
        <f>=WORKDAY(H79,5)</f>
        <v>46113</v>
      </c>
    </row>
    <row r="80" spans="1:11">
      <c r="A80" s="7">
        <f>='服务进度表-交付实施'!A80</f>
        <v>79</v>
      </c>
      <c r="B80" s="7" t="s"/>
      <c r="C80" s="7" t="s">
        <f>='服务进度表-交付实施'!C80</f>
        <v>108</v>
      </c>
      <c r="D80" s="8" t="s">
        <f>='服务进度表-交付实施'!D80</f>
        <v>12</v>
      </c>
      <c r="E80" s="8">
        <f>='服务进度表-交付实施'!J80</f>
        <v>46104</v>
      </c>
      <c r="F80" s="8" t="s">
        <f>='服务进度表-交付实施'!L80</f>
        <v>26</v>
      </c>
      <c r="G80" s="8">
        <f>='服务进度表-交付实施'!M80</f>
        <v>46108</v>
      </c>
      <c r="H80" s="9">
        <f>=WORKDAY(E80,5)</f>
        <v>46111</v>
      </c>
      <c r="I80" s="9">
        <f>=WORKDAY(H80,1)</f>
        <v>46112</v>
      </c>
      <c r="J80" s="9">
        <f>=WORKDAY(I80,5)</f>
        <v>46119</v>
      </c>
      <c r="K80" s="9">
        <f>=WORKDAY(H80,5)</f>
        <v>46118</v>
      </c>
    </row>
    <row r="81" spans="1:11">
      <c r="A81" s="7">
        <f>='服务进度表-交付实施'!A81</f>
        <v>80</v>
      </c>
      <c r="B81" s="7" t="s"/>
      <c r="C81" s="7" t="s">
        <f>='服务进度表-交付实施'!C81</f>
        <v>109</v>
      </c>
      <c r="D81" s="8" t="s">
        <f>='服务进度表-交付实施'!D81</f>
        <v>12</v>
      </c>
      <c r="E81" s="8">
        <f>='服务进度表-交付实施'!J81</f>
        <v>0</v>
      </c>
      <c r="F81" s="8">
        <f>='服务进度表-交付实施'!L81</f>
        <v>0</v>
      </c>
      <c r="G81" s="8">
        <f>='服务进度表-交付实施'!M81</f>
        <v>0</v>
      </c>
      <c r="H81" s="9">
        <f>=WORKDAY(E81,5)</f>
        <v>6</v>
      </c>
      <c r="I81" s="9">
        <f>=WORKDAY(H81,1)</f>
        <v>9</v>
      </c>
      <c r="J81" s="9">
        <f>=WORKDAY(I81,5)</f>
        <v>16</v>
      </c>
      <c r="K81" s="9">
        <f>=WORKDAY(H81,5)</f>
        <v>13</v>
      </c>
    </row>
    <row r="82" spans="1:11">
      <c r="A82" s="7">
        <f>='服务进度表-交付实施'!A82</f>
        <v>81</v>
      </c>
      <c r="B82" s="7" t="s"/>
      <c r="C82" s="7" t="s">
        <f>='服务进度表-交付实施'!C82</f>
        <v>110</v>
      </c>
      <c r="D82" s="8" t="s">
        <f>='服务进度表-交付实施'!D82</f>
        <v>12</v>
      </c>
      <c r="E82" s="8">
        <f>='服务进度表-交付实施'!J82</f>
        <v>0</v>
      </c>
      <c r="F82" s="8">
        <f>='服务进度表-交付实施'!L82</f>
        <v>0</v>
      </c>
      <c r="G82" s="8">
        <f>='服务进度表-交付实施'!M82</f>
        <v>0</v>
      </c>
      <c r="H82" s="9">
        <f>=WORKDAY(E82,5)</f>
        <v>6</v>
      </c>
      <c r="I82" s="9">
        <f>=WORKDAY(H82,1)</f>
        <v>9</v>
      </c>
      <c r="J82" s="9">
        <f>=WORKDAY(I82,5)</f>
        <v>16</v>
      </c>
      <c r="K82" s="9">
        <f>=WORKDAY(H82,5)</f>
        <v>13</v>
      </c>
    </row>
    <row r="83" spans="1:11">
      <c r="A83" s="7">
        <f>='服务进度表-交付实施'!A83</f>
        <v>82</v>
      </c>
      <c r="B83" s="7" t="s"/>
      <c r="C83" s="7" t="s">
        <f>='服务进度表-交付实施'!C83</f>
        <v>111</v>
      </c>
      <c r="D83" s="8" t="s">
        <f>='服务进度表-交付实施'!D83</f>
        <v>12</v>
      </c>
      <c r="E83" s="8">
        <f>='服务进度表-交付实施'!J83</f>
        <v>0</v>
      </c>
      <c r="F83" s="8">
        <f>='服务进度表-交付实施'!L83</f>
        <v>0</v>
      </c>
      <c r="G83" s="8">
        <f>='服务进度表-交付实施'!M83</f>
        <v>0</v>
      </c>
      <c r="H83" s="9">
        <f>=WORKDAY(E83,5)</f>
        <v>6</v>
      </c>
      <c r="I83" s="9">
        <f>=WORKDAY(H83,1)</f>
        <v>9</v>
      </c>
      <c r="J83" s="9">
        <f>=WORKDAY(I83,5)</f>
        <v>16</v>
      </c>
      <c r="K83" s="9">
        <f>=WORKDAY(H83,5)</f>
        <v>13</v>
      </c>
    </row>
    <row r="84" spans="1:11">
      <c r="A84" s="7">
        <f>='服务进度表-交付实施'!A84</f>
        <v>83</v>
      </c>
      <c r="B84" s="7" t="s"/>
      <c r="C84" s="7" t="s">
        <f>='服务进度表-交付实施'!C84</f>
        <v>112</v>
      </c>
      <c r="D84" s="8" t="s">
        <f>='服务进度表-交付实施'!D84</f>
        <v>12</v>
      </c>
      <c r="E84" s="8">
        <f>='服务进度表-交付实施'!J84</f>
        <v>46107</v>
      </c>
      <c r="F84" s="8" t="s">
        <f>='服务进度表-交付实施'!L84</f>
        <v>18</v>
      </c>
      <c r="G84" s="8">
        <f>='服务进度表-交付实施'!M84</f>
        <v>46122</v>
      </c>
      <c r="H84" s="9">
        <f>=WORKDAY(E84,5)</f>
        <v>46114</v>
      </c>
      <c r="I84" s="9">
        <f>=WORKDAY(H84,1)</f>
        <v>46115</v>
      </c>
      <c r="J84" s="9">
        <f>=WORKDAY(I84,5)</f>
        <v>46122</v>
      </c>
      <c r="K84" s="9">
        <f>=WORKDAY(H84,5)</f>
        <v>46121</v>
      </c>
    </row>
    <row r="85" spans="1:11">
      <c r="A85" s="7">
        <f>='服务进度表-交付实施'!A85</f>
        <v>84</v>
      </c>
      <c r="B85" s="7" t="s"/>
      <c r="C85" s="7" t="s">
        <f>='服务进度表-交付实施'!C85</f>
        <v>113</v>
      </c>
      <c r="D85" s="8" t="s">
        <f>='服务进度表-交付实施'!D85</f>
        <v>15</v>
      </c>
      <c r="E85" s="8">
        <f>='服务进度表-交付实施'!J85</f>
        <v>0</v>
      </c>
      <c r="F85" s="8">
        <f>='服务进度表-交付实施'!L85</f>
        <v>0</v>
      </c>
      <c r="G85" s="8">
        <f>='服务进度表-交付实施'!M85</f>
        <v>0</v>
      </c>
      <c r="H85" s="9">
        <f>=WORKDAY(E85,5)</f>
        <v>6</v>
      </c>
      <c r="I85" s="9">
        <f>=WORKDAY(H85,1)</f>
        <v>9</v>
      </c>
      <c r="J85" s="9">
        <f>=WORKDAY(I85,5)</f>
        <v>16</v>
      </c>
      <c r="K85" s="9">
        <f>=WORKDAY(H85,5)</f>
        <v>13</v>
      </c>
    </row>
    <row r="86" spans="1:11">
      <c r="A86" s="7">
        <f>='服务进度表-交付实施'!A86</f>
        <v>85</v>
      </c>
      <c r="B86" s="7" t="s"/>
      <c r="C86" s="7" t="s">
        <f>='服务进度表-交付实施'!C86</f>
        <v>114</v>
      </c>
      <c r="D86" s="8" t="s">
        <f>='服务进度表-交付实施'!D86</f>
        <v>12</v>
      </c>
      <c r="E86" s="8">
        <f>='服务进度表-交付实施'!J86</f>
        <v>46104</v>
      </c>
      <c r="F86" s="8" t="s">
        <f>='服务进度表-交付实施'!L86</f>
        <v>18</v>
      </c>
      <c r="G86" s="8">
        <f>='服务进度表-交付实施'!M86</f>
        <v>46108</v>
      </c>
      <c r="H86" s="9">
        <f>=WORKDAY(E86,5)</f>
        <v>46111</v>
      </c>
      <c r="I86" s="9">
        <f>=WORKDAY(H86,1)</f>
        <v>46112</v>
      </c>
      <c r="J86" s="9">
        <f>=WORKDAY(I86,5)</f>
        <v>46119</v>
      </c>
      <c r="K86" s="9">
        <f>=WORKDAY(H86,5)</f>
        <v>46118</v>
      </c>
    </row>
    <row r="87" spans="1:11">
      <c r="A87" s="7">
        <f>='服务进度表-交付实施'!A87</f>
        <v>86</v>
      </c>
      <c r="B87" s="7" t="s"/>
      <c r="C87" s="7" t="s">
        <f>='服务进度表-交付实施'!C87</f>
        <v>115</v>
      </c>
      <c r="D87" s="8" t="s">
        <f>='服务进度表-交付实施'!D87</f>
        <v>12</v>
      </c>
      <c r="E87" s="8">
        <f>='服务进度表-交付实施'!J87</f>
        <v>46104</v>
      </c>
      <c r="F87" s="8" t="s">
        <f>='服务进度表-交付实施'!L87</f>
        <v>26</v>
      </c>
      <c r="G87" s="8">
        <f>='服务进度表-交付实施'!M87</f>
        <v>46112</v>
      </c>
      <c r="H87" s="9">
        <f>=WORKDAY(E87,5)</f>
        <v>46111</v>
      </c>
      <c r="I87" s="9">
        <f>=WORKDAY(H87,1)</f>
        <v>46112</v>
      </c>
      <c r="J87" s="9">
        <f>=WORKDAY(I87,5)</f>
        <v>46119</v>
      </c>
      <c r="K87" s="9">
        <f>=WORKDAY(H87,5)</f>
        <v>46118</v>
      </c>
    </row>
    <row r="88" spans="1:11">
      <c r="A88" s="7">
        <f>='服务进度表-交付实施'!A88</f>
        <v>87</v>
      </c>
      <c r="B88" s="10" t="s"/>
      <c r="C88" s="7" t="s">
        <f>='服务进度表-交付实施'!C88</f>
        <v>116</v>
      </c>
      <c r="D88" s="8" t="s">
        <f>='服务进度表-交付实施'!D88</f>
        <v>12</v>
      </c>
      <c r="E88" s="8">
        <f>='服务进度表-交付实施'!J88</f>
        <v>46100</v>
      </c>
      <c r="F88" s="8" t="s">
        <f>='服务进度表-交付实施'!L88</f>
        <v>35</v>
      </c>
      <c r="G88" s="8">
        <f>='服务进度表-交付实施'!M88</f>
        <v>46108</v>
      </c>
      <c r="H88" s="9">
        <f>=WORKDAY(E88,5)</f>
        <v>46107</v>
      </c>
      <c r="I88" s="9">
        <f>=WORKDAY(H88,1)</f>
        <v>46108</v>
      </c>
      <c r="J88" s="9">
        <f>=WORKDAY(I88,5)</f>
        <v>46115</v>
      </c>
      <c r="K88" s="9">
        <f>=WORKDAY(H88,5)</f>
        <v>46114</v>
      </c>
    </row>
    <row r="89" spans="1:11">
      <c r="A89" s="7">
        <f>='服务进度表-交付实施'!A89</f>
        <v>88</v>
      </c>
      <c r="B89" s="10" t="s"/>
      <c r="C89" s="7" t="s">
        <f>='服务进度表-交付实施'!C89</f>
        <v>117</v>
      </c>
      <c r="D89" s="8" t="s">
        <f>='服务进度表-交付实施'!D89</f>
        <v>12</v>
      </c>
      <c r="E89" s="8">
        <f>='服务进度表-交付实施'!J89</f>
        <v>46106</v>
      </c>
      <c r="F89" s="8" t="s">
        <f>='服务进度表-交付实施'!L89</f>
        <v>18</v>
      </c>
      <c r="G89" s="8">
        <f>='服务进度表-交付实施'!M89</f>
        <v>46119</v>
      </c>
      <c r="H89" s="9">
        <f>=WORKDAY(E89,5)</f>
        <v>46113</v>
      </c>
      <c r="I89" s="9">
        <f>=WORKDAY(H89,1)</f>
        <v>46114</v>
      </c>
      <c r="J89" s="9">
        <f>=WORKDAY(I89,5)</f>
        <v>46121</v>
      </c>
      <c r="K89" s="9">
        <f>=WORKDAY(H89,5)</f>
        <v>46120</v>
      </c>
    </row>
    <row r="90" spans="1:11">
      <c r="A90" s="7">
        <f>='服务进度表-交付实施'!A90</f>
        <v>89</v>
      </c>
      <c r="B90" s="10" t="s"/>
      <c r="C90" s="7" t="s">
        <f>='服务进度表-交付实施'!C90</f>
        <v>118</v>
      </c>
      <c r="D90" s="8" t="s">
        <f>='服务进度表-交付实施'!D90</f>
        <v>12</v>
      </c>
      <c r="E90" s="8">
        <f>='服务进度表-交付实施'!J90</f>
        <v>46104</v>
      </c>
      <c r="F90" s="8" t="s">
        <f>='服务进度表-交付实施'!L90</f>
        <v>18</v>
      </c>
      <c r="G90" s="8">
        <f>='服务进度表-交付实施'!M90</f>
        <v>46115</v>
      </c>
      <c r="H90" s="9">
        <f>=WORKDAY(E90,5)</f>
        <v>46111</v>
      </c>
      <c r="I90" s="9">
        <f>=WORKDAY(H90,1)</f>
        <v>46112</v>
      </c>
      <c r="J90" s="9">
        <f>=WORKDAY(I90,5)</f>
        <v>46119</v>
      </c>
      <c r="K90" s="9">
        <f>=WORKDAY(H90,5)</f>
        <v>46118</v>
      </c>
    </row>
    <row r="91" spans="1:11">
      <c r="A91" s="7">
        <f>='服务进度表-交付实施'!A91</f>
        <v>90</v>
      </c>
      <c r="B91" s="10" t="s"/>
      <c r="C91" s="7" t="s">
        <f>='服务进度表-交付实施'!C91</f>
        <v>119</v>
      </c>
      <c r="D91" s="8" t="s">
        <f>='服务进度表-交付实施'!D91</f>
        <v>12</v>
      </c>
      <c r="E91" s="8">
        <f>='服务进度表-交付实施'!J91</f>
        <v>46101</v>
      </c>
      <c r="F91" s="8" t="s">
        <f>='服务进度表-交付实施'!L91</f>
        <v>18</v>
      </c>
      <c r="G91" s="8">
        <f>='服务进度表-交付实施'!M91</f>
        <v>46104</v>
      </c>
      <c r="H91" s="9">
        <f>=WORKDAY(E91,5)</f>
        <v>46108</v>
      </c>
      <c r="I91" s="9">
        <f>=WORKDAY(H91,1)</f>
        <v>46111</v>
      </c>
      <c r="J91" s="9">
        <f>=WORKDAY(I91,5)</f>
        <v>46118</v>
      </c>
      <c r="K91" s="9">
        <f>=WORKDAY(H91,5)</f>
        <v>46115</v>
      </c>
    </row>
    <row r="92" spans="1:11">
      <c r="A92" s="7">
        <f>='服务进度表-交付实施'!A92</f>
        <v>91</v>
      </c>
      <c r="B92" s="10" t="s"/>
      <c r="C92" s="7" t="s">
        <f>='服务进度表-交付实施'!C92</f>
        <v>120</v>
      </c>
      <c r="D92" s="8" t="s">
        <f>='服务进度表-交付实施'!D92</f>
        <v>12</v>
      </c>
      <c r="E92" s="8">
        <f>='服务进度表-交付实施'!J92</f>
        <v>46104</v>
      </c>
      <c r="F92" s="8" t="s">
        <f>='服务进度表-交付实施'!L92</f>
        <v>26</v>
      </c>
      <c r="G92" s="8">
        <f>='服务进度表-交付实施'!M92</f>
        <v>46107</v>
      </c>
      <c r="H92" s="9">
        <f>=WORKDAY(E92,5)</f>
        <v>46111</v>
      </c>
      <c r="I92" s="9">
        <f>=WORKDAY(H92,1)</f>
        <v>46112</v>
      </c>
      <c r="J92" s="9">
        <f>=WORKDAY(I92,5)</f>
        <v>46119</v>
      </c>
      <c r="K92" s="9">
        <f>=WORKDAY(H92,5)</f>
        <v>46118</v>
      </c>
    </row>
    <row r="93" spans="1:11">
      <c r="A93" s="7">
        <f>='服务进度表-交付实施'!A93</f>
        <v>92</v>
      </c>
      <c r="B93" s="10" t="s"/>
      <c r="C93" s="7" t="s">
        <f>='服务进度表-交付实施'!C93</f>
        <v>121</v>
      </c>
      <c r="D93" s="8" t="s">
        <f>='服务进度表-交付实施'!D93</f>
        <v>12</v>
      </c>
      <c r="E93" s="8">
        <f>='服务进度表-交付实施'!J93</f>
        <v>46101</v>
      </c>
      <c r="F93" s="8" t="s">
        <f>='服务进度表-交付实施'!L93</f>
        <v>18</v>
      </c>
      <c r="G93" s="8">
        <f>='服务进度表-交付实施'!M93</f>
        <v>46106</v>
      </c>
      <c r="H93" s="9">
        <f>=WORKDAY(E93,5)</f>
        <v>46108</v>
      </c>
      <c r="I93" s="9">
        <f>=WORKDAY(H93,1)</f>
        <v>46111</v>
      </c>
      <c r="J93" s="9">
        <f>=WORKDAY(I93,5)</f>
        <v>46118</v>
      </c>
      <c r="K93" s="9">
        <f>=WORKDAY(H93,5)</f>
        <v>46115</v>
      </c>
    </row>
    <row r="94" spans="1:11">
      <c r="A94" s="7">
        <f>='服务进度表-交付实施'!A94</f>
        <v>93</v>
      </c>
      <c r="B94" s="10" t="s"/>
      <c r="C94" s="7" t="s">
        <f>='服务进度表-交付实施'!C94</f>
        <v>122</v>
      </c>
      <c r="D94" s="8" t="s">
        <f>='服务进度表-交付实施'!D94</f>
        <v>12</v>
      </c>
      <c r="E94" s="8">
        <f>='服务进度表-交付实施'!J94</f>
        <v>46108</v>
      </c>
      <c r="F94" s="8" t="s">
        <f>='服务进度表-交付实施'!L94</f>
        <v>18</v>
      </c>
      <c r="G94" s="8">
        <f>='服务进度表-交付实施'!M94</f>
        <v>46115</v>
      </c>
      <c r="H94" s="9">
        <f>=WORKDAY(E94,5)</f>
        <v>46115</v>
      </c>
      <c r="I94" s="9">
        <f>=WORKDAY(H94,1)</f>
        <v>46118</v>
      </c>
      <c r="J94" s="9">
        <f>=WORKDAY(I94,5)</f>
        <v>46125</v>
      </c>
      <c r="K94" s="9">
        <f>=WORKDAY(H94,5)</f>
        <v>46122</v>
      </c>
    </row>
    <row r="95" spans="1:11">
      <c r="A95" s="7">
        <f>='服务进度表-交付实施'!A95</f>
        <v>94</v>
      </c>
      <c r="B95" s="10" t="s"/>
      <c r="C95" s="7" t="s">
        <f>='服务进度表-交付实施'!C95</f>
        <v>123</v>
      </c>
      <c r="D95" s="8" t="s">
        <f>='服务进度表-交付实施'!D95</f>
        <v>15</v>
      </c>
      <c r="E95" s="8">
        <f>='服务进度表-交付实施'!J95</f>
        <v>46101</v>
      </c>
      <c r="F95" s="8" t="s">
        <f>='服务进度表-交付实施'!L95</f>
        <v>124</v>
      </c>
      <c r="G95" s="8">
        <f>='服务进度表-交付实施'!M95</f>
        <v>46112</v>
      </c>
      <c r="H95" s="9">
        <f>=WORKDAY(E95,5)</f>
        <v>46108</v>
      </c>
      <c r="I95" s="9">
        <f>=WORKDAY(H95,1)</f>
        <v>46111</v>
      </c>
      <c r="J95" s="9">
        <f>=WORKDAY(I95,5)</f>
        <v>46118</v>
      </c>
      <c r="K95" s="9">
        <f>=WORKDAY(H95,5)</f>
        <v>46115</v>
      </c>
    </row>
    <row r="96" spans="1:11">
      <c r="A96" s="7">
        <f>='服务进度表-交付实施'!A96</f>
        <v>95</v>
      </c>
      <c r="B96" s="10" t="s"/>
      <c r="C96" s="7" t="s">
        <f>='服务进度表-交付实施'!C96</f>
        <v>125</v>
      </c>
      <c r="D96" s="8" t="s">
        <f>='服务进度表-交付实施'!D96</f>
        <v>12</v>
      </c>
      <c r="E96" s="8">
        <f>='服务进度表-交付实施'!J96</f>
        <v>46106</v>
      </c>
      <c r="F96" s="8" t="s">
        <f>='服务进度表-交付实施'!L96</f>
        <v>26</v>
      </c>
      <c r="G96" s="8">
        <f>='服务进度表-交付实施'!M96</f>
        <v>46114</v>
      </c>
      <c r="H96" s="9">
        <f>=WORKDAY(E96,5)</f>
        <v>46113</v>
      </c>
      <c r="I96" s="9">
        <f>=WORKDAY(H96,1)</f>
        <v>46114</v>
      </c>
      <c r="J96" s="9">
        <f>=WORKDAY(I96,5)</f>
        <v>46121</v>
      </c>
      <c r="K96" s="9">
        <f>=WORKDAY(H96,5)</f>
        <v>46120</v>
      </c>
    </row>
    <row r="97" spans="1:11">
      <c r="A97" s="11">
        <f>='服务进度表-交付实施'!A97</f>
        <v>96</v>
      </c>
      <c r="B97" s="10" t="s"/>
      <c r="C97" s="7" t="s">
        <f>='服务进度表-交付实施'!C97</f>
        <v>126</v>
      </c>
      <c r="D97" s="8" t="s">
        <f>='服务进度表-交付实施'!D97</f>
        <v>12</v>
      </c>
      <c r="E97" s="8">
        <f>='服务进度表-交付实施'!J97</f>
        <v>46106</v>
      </c>
      <c r="F97" s="8" t="s">
        <f>='服务进度表-交付实施'!L97</f>
        <v>18</v>
      </c>
      <c r="G97" s="8">
        <f>='服务进度表-交付实施'!M97</f>
        <v>46115</v>
      </c>
      <c r="H97" s="9">
        <f>=WORKDAY(E97,5)</f>
        <v>46113</v>
      </c>
      <c r="I97" s="9">
        <f>=WORKDAY(H97,1)</f>
        <v>46114</v>
      </c>
      <c r="J97" s="9">
        <f>=WORKDAY(I97,5)</f>
        <v>46121</v>
      </c>
      <c r="K97" s="9">
        <f>=WORKDAY(H97,5)</f>
        <v>46120</v>
      </c>
    </row>
    <row r="98" spans="1:11">
      <c r="A98" s="11">
        <f>='服务进度表-交付实施'!A98</f>
        <v>97</v>
      </c>
      <c r="B98" s="10" t="s"/>
      <c r="C98" s="7" t="s">
        <f>='服务进度表-交付实施'!C98</f>
        <v>127</v>
      </c>
      <c r="D98" s="8" t="s">
        <f>='服务进度表-交付实施'!D98</f>
        <v>12</v>
      </c>
      <c r="E98" s="8">
        <f>='服务进度表-交付实施'!J98</f>
        <v>46104</v>
      </c>
      <c r="F98" s="8" t="s">
        <f>='服务进度表-交付实施'!L98</f>
        <v>18</v>
      </c>
      <c r="G98" s="8">
        <f>='服务进度表-交付实施'!M98</f>
        <v>46111</v>
      </c>
      <c r="H98" s="9">
        <f>=WORKDAY(E98,5)</f>
        <v>46111</v>
      </c>
      <c r="I98" s="9">
        <f>=WORKDAY(H98,1)</f>
        <v>46112</v>
      </c>
      <c r="J98" s="9">
        <f>=WORKDAY(I98,5)</f>
        <v>46119</v>
      </c>
      <c r="K98" s="9">
        <f>=WORKDAY(H98,5)</f>
        <v>46118</v>
      </c>
    </row>
    <row r="99" spans="1:11">
      <c r="A99" s="11">
        <f>='服务进度表-交付实施'!A99</f>
        <v>98</v>
      </c>
      <c r="B99" s="10" t="s"/>
      <c r="C99" s="7" t="s">
        <f>='服务进度表-交付实施'!C99</f>
        <v>128</v>
      </c>
      <c r="D99" s="8" t="s">
        <f>='服务进度表-交付实施'!D99</f>
        <v>15</v>
      </c>
      <c r="E99" s="8">
        <f>='服务进度表-交付实施'!J99</f>
        <v>46104</v>
      </c>
      <c r="F99" s="8" t="s">
        <f>='服务进度表-交付实施'!L99</f>
        <v>129</v>
      </c>
      <c r="G99" s="8">
        <f>='服务进度表-交付实施'!M99</f>
        <v>46115</v>
      </c>
      <c r="H99" s="9">
        <f>=WORKDAY(E99,5)</f>
        <v>46111</v>
      </c>
      <c r="I99" s="9">
        <f>=WORKDAY(H99,1)</f>
        <v>46112</v>
      </c>
      <c r="J99" s="9">
        <f>=WORKDAY(I99,5)</f>
        <v>46119</v>
      </c>
      <c r="K99" s="9">
        <f>=WORKDAY(H99,5)</f>
        <v>46118</v>
      </c>
    </row>
    <row r="100" spans="1:11">
      <c r="A100" s="11">
        <f>='服务进度表-交付实施'!A100</f>
        <v>99</v>
      </c>
      <c r="B100" s="10" t="s"/>
      <c r="C100" s="7" t="s">
        <f>='服务进度表-交付实施'!C100</f>
        <v>130</v>
      </c>
      <c r="D100" s="8" t="s">
        <f>='服务进度表-交付实施'!D100</f>
        <v>12</v>
      </c>
      <c r="E100" s="8">
        <f>='服务进度表-交付实施'!J100</f>
        <v>46104</v>
      </c>
      <c r="F100" s="8" t="s">
        <f>='服务进度表-交付实施'!L100</f>
        <v>35</v>
      </c>
      <c r="G100" s="8">
        <f>='服务进度表-交付实施'!M100</f>
        <v>46113</v>
      </c>
      <c r="H100" s="9">
        <f>=WORKDAY(E100,5)</f>
        <v>46111</v>
      </c>
      <c r="I100" s="9">
        <f>=WORKDAY(H100,1)</f>
        <v>46112</v>
      </c>
      <c r="J100" s="9">
        <f>=WORKDAY(I100,5)</f>
        <v>46119</v>
      </c>
      <c r="K100" s="9">
        <f>=WORKDAY(H100,5)</f>
        <v>46118</v>
      </c>
    </row>
    <row r="101" spans="1:11">
      <c r="A101" s="11">
        <f>='服务进度表-交付实施'!A101</f>
        <v>100</v>
      </c>
      <c r="C101" s="7" t="s">
        <f>='服务进度表-交付实施'!C101</f>
        <v>131</v>
      </c>
      <c r="D101" s="8" t="s">
        <f>='服务进度表-交付实施'!D101</f>
        <v>15</v>
      </c>
      <c r="E101" s="12">
        <f>='服务进度表-交付实施'!J101</f>
        <v>46111</v>
      </c>
      <c r="F101" s="8" t="s">
        <f>='服务进度表-交付实施'!L101</f>
        <v>132</v>
      </c>
      <c r="G101" s="13">
        <f>='服务进度表-交付实施'!M101</f>
        <v>0</v>
      </c>
      <c r="H101" s="9">
        <f>=WORKDAY(E101,5)</f>
        <v>46118</v>
      </c>
      <c r="I101" s="9">
        <f>=WORKDAY(H101,1)</f>
        <v>46119</v>
      </c>
      <c r="J101" s="9">
        <f>=WORKDAY(I101,5)</f>
        <v>46126</v>
      </c>
      <c r="K101" s="9">
        <f>=WORKDAY(H101,5)</f>
        <v>46125</v>
      </c>
    </row>
    <row r="102" spans="1:11">
      <c r="A102" s="11">
        <f>='服务进度表-交付实施'!A102</f>
        <v>101</v>
      </c>
      <c r="C102" s="7" t="s">
        <f>='服务进度表-交付实施'!C102</f>
        <v>133</v>
      </c>
      <c r="D102" s="8" t="s">
        <f>='服务进度表-交付实施'!D102</f>
        <v>12</v>
      </c>
      <c r="E102" s="12">
        <f>='服务进度表-交付实施'!J102</f>
        <v>46105</v>
      </c>
      <c r="F102" s="8" t="s">
        <f>='服务进度表-交付实施'!L102</f>
        <v>26</v>
      </c>
      <c r="G102" s="13">
        <f>='服务进度表-交付实施'!M102</f>
        <v>46114</v>
      </c>
      <c r="H102" s="9">
        <f>=WORKDAY(E102,5)</f>
        <v>46112</v>
      </c>
      <c r="I102" s="9">
        <f>=WORKDAY(H102,1)</f>
        <v>46113</v>
      </c>
      <c r="J102" s="9">
        <f>=WORKDAY(I102,5)</f>
        <v>46120</v>
      </c>
      <c r="K102" s="9">
        <f>=WORKDAY(H102,5)</f>
        <v>46119</v>
      </c>
    </row>
    <row r="103" spans="1:11">
      <c r="A103" s="11">
        <f>='服务进度表-交付实施'!A103</f>
        <v>102</v>
      </c>
      <c r="C103" s="7" t="s">
        <f>='服务进度表-交付实施'!C103</f>
        <v>134</v>
      </c>
      <c r="D103" s="8" t="s">
        <f>='服务进度表-交付实施'!D103</f>
        <v>12</v>
      </c>
      <c r="E103" s="12">
        <f>='服务进度表-交付实施'!J103</f>
        <v>46106</v>
      </c>
      <c r="F103" s="8" t="s">
        <f>='服务进度表-交付实施'!L103</f>
        <v>26</v>
      </c>
      <c r="G103" s="13">
        <f>='服务进度表-交付实施'!M103</f>
        <v>46114</v>
      </c>
      <c r="H103" s="9">
        <f>=WORKDAY(E103,5)</f>
        <v>46113</v>
      </c>
      <c r="I103" s="9">
        <f>=WORKDAY(H103,1)</f>
        <v>46114</v>
      </c>
      <c r="J103" s="9">
        <f>=WORKDAY(I103,5)</f>
        <v>46121</v>
      </c>
      <c r="K103" s="9">
        <f>=WORKDAY(H103,5)</f>
        <v>46120</v>
      </c>
    </row>
    <row r="104" spans="1:11">
      <c r="A104" s="11">
        <f>='服务进度表-交付实施'!A104</f>
        <v>103</v>
      </c>
      <c r="C104" s="7" t="s">
        <f>='服务进度表-交付实施'!C104</f>
        <v>135</v>
      </c>
      <c r="D104" s="8" t="s">
        <f>='服务进度表-交付实施'!D104</f>
        <v>12</v>
      </c>
      <c r="E104" s="12">
        <f>='服务进度表-交付实施'!J104</f>
        <v>46106</v>
      </c>
      <c r="F104" s="8" t="s">
        <f>='服务进度表-交付实施'!L104</f>
        <v>26</v>
      </c>
      <c r="G104" s="13">
        <f>='服务进度表-交付实施'!M104</f>
        <v>46125</v>
      </c>
      <c r="H104" s="9">
        <f>=WORKDAY(E104,5)</f>
        <v>46113</v>
      </c>
      <c r="I104" s="9">
        <f>=WORKDAY(H104,1)</f>
        <v>46114</v>
      </c>
      <c r="J104" s="9">
        <f>=WORKDAY(I104,5)</f>
        <v>46121</v>
      </c>
      <c r="K104" s="9">
        <f>=WORKDAY(H104,5)</f>
        <v>46120</v>
      </c>
    </row>
    <row r="105" spans="1:11">
      <c r="A105" s="11">
        <f>='服务进度表-交付实施'!A105</f>
        <v>104</v>
      </c>
      <c r="C105" s="7" t="s">
        <f>='服务进度表-交付实施'!C105</f>
        <v>136</v>
      </c>
      <c r="D105" s="8" t="s">
        <f>='服务进度表-交付实施'!D105</f>
        <v>12</v>
      </c>
      <c r="E105" s="12">
        <f>='服务进度表-交付实施'!J105</f>
        <v>46105</v>
      </c>
      <c r="F105" s="8" t="s">
        <f>='服务进度表-交付实施'!L105</f>
        <v>18</v>
      </c>
      <c r="G105" s="13">
        <f>='服务进度表-交付实施'!M105</f>
        <v>46119</v>
      </c>
      <c r="H105" s="9">
        <f>=WORKDAY(E105,5)</f>
        <v>46112</v>
      </c>
      <c r="I105" s="9">
        <f>=WORKDAY(H105,1)</f>
        <v>46113</v>
      </c>
      <c r="J105" s="9">
        <f>=WORKDAY(I105,5)</f>
        <v>46120</v>
      </c>
      <c r="K105" s="9">
        <f>=WORKDAY(H105,5)</f>
        <v>46119</v>
      </c>
    </row>
    <row r="106" spans="1:11">
      <c r="A106" s="11">
        <f>='服务进度表-交付实施'!A106</f>
        <v>105</v>
      </c>
      <c r="C106" s="7" t="s">
        <f>='服务进度表-交付实施'!C106</f>
        <v>137</v>
      </c>
      <c r="D106" s="8" t="s">
        <f>='服务进度表-交付实施'!D106</f>
        <v>12</v>
      </c>
      <c r="E106" s="12">
        <f>='服务进度表-交付实施'!J106</f>
        <v>0</v>
      </c>
      <c r="F106" s="8">
        <f>='服务进度表-交付实施'!L106</f>
        <v>0</v>
      </c>
      <c r="G106" s="13">
        <f>='服务进度表-交付实施'!M106</f>
        <v>0</v>
      </c>
      <c r="H106" s="9">
        <f>=WORKDAY(E106,5)</f>
        <v>6</v>
      </c>
      <c r="I106" s="9">
        <f>=WORKDAY(H106,1)</f>
        <v>9</v>
      </c>
      <c r="J106" s="9">
        <f>=WORKDAY(I106,5)</f>
        <v>16</v>
      </c>
      <c r="K106" s="9">
        <f>=WORKDAY(H106,5)</f>
        <v>13</v>
      </c>
    </row>
    <row r="107" spans="1:11">
      <c r="A107" s="11">
        <f>='服务进度表-交付实施'!A107</f>
        <v>106</v>
      </c>
      <c r="C107" s="7" t="s">
        <f>='服务进度表-交付实施'!C107</f>
        <v>138</v>
      </c>
      <c r="D107" s="8" t="s">
        <f>='服务进度表-交付实施'!D107</f>
        <v>12</v>
      </c>
      <c r="E107" s="12">
        <f>='服务进度表-交付实施'!J107</f>
        <v>46107</v>
      </c>
      <c r="F107" s="8" t="s">
        <f>='服务进度表-交付实施'!L107</f>
        <v>26</v>
      </c>
      <c r="G107" s="13">
        <f>='服务进度表-交付实施'!M107</f>
        <v>46114</v>
      </c>
      <c r="H107" s="9">
        <f>=WORKDAY(E107,5)</f>
        <v>46114</v>
      </c>
      <c r="I107" s="9">
        <f>=WORKDAY(H107,1)</f>
        <v>46115</v>
      </c>
      <c r="J107" s="9">
        <f>=WORKDAY(I107,5)</f>
        <v>46122</v>
      </c>
      <c r="K107" s="9">
        <f>=WORKDAY(H107,5)</f>
        <v>46121</v>
      </c>
    </row>
    <row r="108" spans="1:11">
      <c r="A108" s="11">
        <f>='服务进度表-交付实施'!A108</f>
        <v>107</v>
      </c>
      <c r="C108" s="7" t="s">
        <f>='服务进度表-交付实施'!C108</f>
        <v>139</v>
      </c>
      <c r="D108" s="8" t="s">
        <f>='服务进度表-交付实施'!D108</f>
        <v>12</v>
      </c>
      <c r="E108" s="12">
        <f>='服务进度表-交付实施'!J108</f>
        <v>46107</v>
      </c>
      <c r="F108" s="8" t="s">
        <f>='服务进度表-交付实施'!L108</f>
        <v>18</v>
      </c>
      <c r="G108" s="13">
        <f>='服务进度表-交付实施'!M108</f>
        <v>46120</v>
      </c>
      <c r="H108" s="9">
        <f>=WORKDAY(E108,5)</f>
        <v>46114</v>
      </c>
      <c r="I108" s="9">
        <f>=WORKDAY(H108,1)</f>
        <v>46115</v>
      </c>
      <c r="J108" s="9">
        <f>=WORKDAY(I108,5)</f>
        <v>46122</v>
      </c>
      <c r="K108" s="9">
        <f>=WORKDAY(H108,5)</f>
        <v>46121</v>
      </c>
    </row>
    <row r="109" spans="1:11">
      <c r="A109" s="11">
        <f>='服务进度表-交付实施'!A109</f>
        <v>108</v>
      </c>
      <c r="C109" s="7" t="s">
        <f>='服务进度表-交付实施'!C109</f>
        <v>140</v>
      </c>
      <c r="D109" s="8" t="s">
        <f>='服务进度表-交付实施'!D109</f>
        <v>12</v>
      </c>
      <c r="E109" s="12">
        <f>='服务进度表-交付实施'!J109</f>
        <v>46106</v>
      </c>
      <c r="F109" s="8" t="s">
        <f>='服务进度表-交付实施'!L109</f>
        <v>35</v>
      </c>
      <c r="G109" s="13">
        <f>='服务进度表-交付实施'!M109</f>
        <v>46120</v>
      </c>
      <c r="H109" s="9">
        <f>=WORKDAY(E109,5)</f>
        <v>46113</v>
      </c>
      <c r="I109" s="9">
        <f>=WORKDAY(H109,1)</f>
        <v>46114</v>
      </c>
      <c r="J109" s="9">
        <f>=WORKDAY(I109,5)</f>
        <v>46121</v>
      </c>
      <c r="K109" s="9">
        <f>=WORKDAY(H109,5)</f>
        <v>46120</v>
      </c>
    </row>
    <row r="110" spans="1:11">
      <c r="A110" s="11">
        <f>='服务进度表-交付实施'!A110</f>
        <v>109</v>
      </c>
      <c r="C110" s="7" t="s">
        <f>='服务进度表-交付实施'!C110</f>
        <v>141</v>
      </c>
      <c r="D110" s="8" t="s">
        <f>='服务进度表-交付实施'!D110</f>
        <v>12</v>
      </c>
      <c r="E110" s="12">
        <f>='服务进度表-交付实施'!J110</f>
        <v>46106</v>
      </c>
      <c r="F110" s="8" t="s">
        <f>='服务进度表-交付实施'!L110</f>
        <v>18</v>
      </c>
      <c r="G110" s="13">
        <f>='服务进度表-交付实施'!M110</f>
        <v>46121</v>
      </c>
      <c r="H110" s="9">
        <f>=WORKDAY(E110,5)</f>
        <v>46113</v>
      </c>
      <c r="I110" s="9">
        <f>=WORKDAY(H110,1)</f>
        <v>46114</v>
      </c>
      <c r="J110" s="9">
        <f>=WORKDAY(I110,5)</f>
        <v>46121</v>
      </c>
      <c r="K110" s="9">
        <f>=WORKDAY(H110,5)</f>
        <v>46120</v>
      </c>
    </row>
    <row r="111" spans="1:11">
      <c r="A111" s="11">
        <f>='服务进度表-交付实施'!A111</f>
        <v>110</v>
      </c>
      <c r="C111" s="7" t="s">
        <f>='服务进度表-交付实施'!C111</f>
        <v>142</v>
      </c>
      <c r="D111" s="8" t="s">
        <f>='服务进度表-交付实施'!D111</f>
        <v>12</v>
      </c>
      <c r="E111" s="12">
        <f>='服务进度表-交付实施'!J111</f>
        <v>46114</v>
      </c>
      <c r="F111" s="8" t="s">
        <f>='服务进度表-交付实施'!L111</f>
        <v>18</v>
      </c>
      <c r="G111" s="13">
        <f>='服务进度表-交付实施'!M111</f>
        <v>0</v>
      </c>
      <c r="H111" s="9">
        <f>=WORKDAY(E111,5)</f>
        <v>46121</v>
      </c>
      <c r="I111" s="9">
        <f>=WORKDAY(H111,1)</f>
        <v>46122</v>
      </c>
      <c r="J111" s="9">
        <f>=WORKDAY(I111,5)</f>
        <v>46129</v>
      </c>
      <c r="K111" s="9">
        <f>=WORKDAY(H111,5)</f>
        <v>46128</v>
      </c>
    </row>
    <row r="112" spans="1:11">
      <c r="A112" s="11">
        <f>='服务进度表-交付实施'!A112</f>
        <v>111</v>
      </c>
      <c r="C112" s="7" t="s">
        <f>='服务进度表-交付实施'!C112</f>
        <v>143</v>
      </c>
      <c r="D112" s="8" t="s">
        <f>='服务进度表-交付实施'!D112</f>
        <v>12</v>
      </c>
      <c r="E112" s="12">
        <f>='服务进度表-交付实施'!J112</f>
        <v>46125</v>
      </c>
      <c r="F112" s="8" t="s">
        <f>='服务进度表-交付实施'!L112</f>
        <v>18</v>
      </c>
      <c r="G112" s="13">
        <f>='服务进度表-交付实施'!M112</f>
        <v>0</v>
      </c>
      <c r="H112" s="9">
        <f>=WORKDAY(E112,5)</f>
        <v>46132</v>
      </c>
      <c r="I112" s="9">
        <f>=WORKDAY(H112,1)</f>
        <v>46133</v>
      </c>
      <c r="J112" s="9">
        <f>=WORKDAY(I112,5)</f>
        <v>46140</v>
      </c>
      <c r="K112" s="9">
        <f>=WORKDAY(H112,5)</f>
        <v>46139</v>
      </c>
    </row>
    <row r="113" spans="1:11">
      <c r="A113" s="11">
        <f>='服务进度表-交付实施'!A113</f>
        <v>112</v>
      </c>
      <c r="C113" s="7" t="s">
        <f>='服务进度表-交付实施'!C113</f>
        <v>144</v>
      </c>
      <c r="D113" s="8" t="s">
        <f>='服务进度表-交付实施'!D113</f>
        <v>12</v>
      </c>
      <c r="E113" s="12">
        <f>='服务进度表-交付实施'!J113</f>
        <v>46111</v>
      </c>
      <c r="F113" s="8" t="s">
        <f>='服务进度表-交付实施'!L113</f>
        <v>26</v>
      </c>
      <c r="G113" s="13">
        <f>='服务进度表-交付实施'!M113</f>
        <v>0</v>
      </c>
      <c r="H113" s="9">
        <f>=WORKDAY(E113,5)</f>
        <v>46118</v>
      </c>
      <c r="I113" s="9">
        <f>=WORKDAY(H113,1)</f>
        <v>46119</v>
      </c>
      <c r="J113" s="9">
        <f>=WORKDAY(I113,5)</f>
        <v>46126</v>
      </c>
      <c r="K113" s="9">
        <f>=WORKDAY(H113,5)</f>
        <v>46125</v>
      </c>
    </row>
    <row r="114" spans="1:11">
      <c r="A114" s="11">
        <f>='服务进度表-交付实施'!A114</f>
        <v>113</v>
      </c>
      <c r="C114" s="7" t="s">
        <f>='服务进度表-交付实施'!C114</f>
        <v>145</v>
      </c>
      <c r="D114" s="8" t="s">
        <f>='服务进度表-交付实施'!D114</f>
        <v>12</v>
      </c>
      <c r="E114" s="12">
        <f>='服务进度表-交付实施'!J114</f>
        <v>46107</v>
      </c>
      <c r="F114" s="8" t="s">
        <f>='服务进度表-交付实施'!L114</f>
        <v>35</v>
      </c>
      <c r="G114" s="13">
        <f>='服务进度表-交付实施'!M114</f>
        <v>0</v>
      </c>
      <c r="H114" s="9">
        <f>=WORKDAY(E114,5)</f>
        <v>46114</v>
      </c>
      <c r="I114" s="9">
        <f>=WORKDAY(H114,1)</f>
        <v>46115</v>
      </c>
      <c r="J114" s="9">
        <f>=WORKDAY(I114,5)</f>
        <v>46122</v>
      </c>
      <c r="K114" s="9">
        <f>=WORKDAY(H114,5)</f>
        <v>46121</v>
      </c>
    </row>
    <row r="115" spans="1:11">
      <c r="A115" s="11">
        <f>='服务进度表-交付实施'!A115</f>
        <v>114</v>
      </c>
      <c r="C115" s="7" t="s">
        <f>='服务进度表-交付实施'!C115</f>
        <v>146</v>
      </c>
      <c r="D115" s="8" t="s">
        <f>='服务进度表-交付实施'!D115</f>
        <v>12</v>
      </c>
      <c r="E115" s="12">
        <f>='服务进度表-交付实施'!J115</f>
        <v>46108</v>
      </c>
      <c r="F115" s="8" t="s">
        <f>='服务进度表-交付实施'!L115</f>
        <v>26</v>
      </c>
      <c r="G115" s="13">
        <f>='服务进度表-交付实施'!M115</f>
        <v>46114</v>
      </c>
      <c r="H115" s="9">
        <f>=WORKDAY(E115,5)</f>
        <v>46115</v>
      </c>
      <c r="I115" s="9">
        <f>=WORKDAY(H115,1)</f>
        <v>46118</v>
      </c>
      <c r="J115" s="9">
        <f>=WORKDAY(I115,5)</f>
        <v>46125</v>
      </c>
      <c r="K115" s="9">
        <f>=WORKDAY(H115,5)</f>
        <v>46122</v>
      </c>
    </row>
    <row r="116" spans="1:11">
      <c r="A116" s="11">
        <f>='服务进度表-交付实施'!A116</f>
        <v>115</v>
      </c>
      <c r="C116" s="7" t="s">
        <f>='服务进度表-交付实施'!C116</f>
        <v>147</v>
      </c>
      <c r="D116" s="8" t="s">
        <f>='服务进度表-交付实施'!D116</f>
        <v>12</v>
      </c>
      <c r="E116" s="12">
        <f>='服务进度表-交付实施'!J116</f>
        <v>46119</v>
      </c>
      <c r="F116" s="8" t="s">
        <f>='服务进度表-交付实施'!L116</f>
        <v>18</v>
      </c>
      <c r="G116" s="13">
        <f>='服务进度表-交付实施'!M116</f>
        <v>0</v>
      </c>
      <c r="H116" s="9">
        <f>=WORKDAY(E116,5)</f>
        <v>46126</v>
      </c>
      <c r="I116" s="9">
        <f>=WORKDAY(H116,1)</f>
        <v>46127</v>
      </c>
      <c r="J116" s="9">
        <f>=WORKDAY(I116,5)</f>
        <v>46134</v>
      </c>
      <c r="K116" s="9">
        <f>=WORKDAY(H116,5)</f>
        <v>46133</v>
      </c>
    </row>
    <row r="117" spans="1:11">
      <c r="A117" s="11">
        <f>='服务进度表-交付实施'!A117</f>
        <v>116</v>
      </c>
      <c r="C117" s="11" t="s">
        <f>='服务进度表-交付实施'!C117</f>
        <v>148</v>
      </c>
      <c r="D117" s="8" t="s">
        <f>='服务进度表-交付实施'!D117</f>
        <v>12</v>
      </c>
      <c r="E117" s="12">
        <f>='服务进度表-交付实施'!J117</f>
        <v>46113</v>
      </c>
      <c r="F117" s="8" t="s">
        <f>='服务进度表-交付实施'!L117</f>
        <v>18</v>
      </c>
      <c r="G117" s="13">
        <f>='服务进度表-交付实施'!M117</f>
        <v>0</v>
      </c>
      <c r="H117" s="9">
        <f>=WORKDAY(E117,5)</f>
        <v>46120</v>
      </c>
      <c r="I117" s="9">
        <f>=WORKDAY(H117,1)</f>
        <v>46121</v>
      </c>
      <c r="J117" s="9">
        <f>=WORKDAY(I117,5)</f>
        <v>46128</v>
      </c>
      <c r="K117" s="9">
        <f>=WORKDAY(H117,5)</f>
        <v>46127</v>
      </c>
    </row>
    <row r="118" spans="1:11">
      <c r="A118" s="11">
        <f>='服务进度表-交付实施'!A118</f>
        <v>117</v>
      </c>
      <c r="C118" s="11" t="s">
        <f>='服务进度表-交付实施'!C118</f>
        <v>149</v>
      </c>
      <c r="D118" s="8" t="s">
        <f>='服务进度表-交付实施'!D118</f>
        <v>12</v>
      </c>
      <c r="E118" s="12">
        <f>='服务进度表-交付实施'!J118</f>
        <v>46114</v>
      </c>
      <c r="F118" s="8" t="s">
        <f>='服务进度表-交付实施'!L118</f>
        <v>18</v>
      </c>
      <c r="G118" s="13">
        <f>='服务进度表-交付实施'!M118</f>
        <v>0</v>
      </c>
      <c r="H118" s="9">
        <f>=WORKDAY(E118,5)</f>
        <v>46121</v>
      </c>
      <c r="I118" s="9">
        <f>=WORKDAY(H118,1)</f>
        <v>46122</v>
      </c>
      <c r="J118" s="9">
        <f>=WORKDAY(I118,5)</f>
        <v>46129</v>
      </c>
      <c r="K118" s="9">
        <f>=WORKDAY(H118,5)</f>
        <v>46128</v>
      </c>
    </row>
    <row r="119" spans="1:11">
      <c r="A119" s="11">
        <f>='服务进度表-交付实施'!A119</f>
        <v>118</v>
      </c>
      <c r="C119" s="11" t="s">
        <f>='服务进度表-交付实施'!C119</f>
        <v>150</v>
      </c>
      <c r="D119" s="8" t="s">
        <f>='服务进度表-交付实施'!D119</f>
        <v>12</v>
      </c>
      <c r="E119" s="12">
        <f>='服务进度表-交付实施'!J119</f>
        <v>46108</v>
      </c>
      <c r="F119" s="8" t="s">
        <f>='服务进度表-交付实施'!L119</f>
        <v>18</v>
      </c>
      <c r="G119" s="13">
        <f>='服务进度表-交付实施'!M119</f>
        <v>46125</v>
      </c>
      <c r="H119" s="9">
        <f>=WORKDAY(E119,5)</f>
        <v>46115</v>
      </c>
      <c r="I119" s="9">
        <f>=WORKDAY(H119,1)</f>
        <v>46118</v>
      </c>
      <c r="J119" s="9">
        <f>=WORKDAY(I119,5)</f>
        <v>46125</v>
      </c>
      <c r="K119" s="9">
        <f>=WORKDAY(H119,5)</f>
        <v>46122</v>
      </c>
    </row>
    <row r="120" spans="1:11">
      <c r="A120" s="11">
        <f>='服务进度表-交付实施'!A120</f>
        <v>119</v>
      </c>
      <c r="C120" s="11" t="s">
        <f>='服务进度表-交付实施'!C120</f>
        <v>151</v>
      </c>
      <c r="D120" s="8" t="s">
        <f>='服务进度表-交付实施'!D120</f>
        <v>15</v>
      </c>
      <c r="E120" s="12">
        <f>='服务进度表-交付实施'!J120</f>
        <v>46111</v>
      </c>
      <c r="F120" s="8" t="s">
        <f>='服务进度表-交付实施'!L120</f>
        <v>152</v>
      </c>
      <c r="G120" s="13">
        <f>='服务进度表-交付实施'!M120</f>
        <v>46120</v>
      </c>
      <c r="H120" s="9">
        <f>=WORKDAY(E120,5)</f>
        <v>46118</v>
      </c>
      <c r="I120" s="9">
        <f>=WORKDAY(H120,1)</f>
        <v>46119</v>
      </c>
      <c r="J120" s="9">
        <f>=WORKDAY(I120,5)</f>
        <v>46126</v>
      </c>
      <c r="K120" s="9">
        <f>=WORKDAY(H120,5)</f>
        <v>46125</v>
      </c>
    </row>
    <row r="121" spans="1:11">
      <c r="A121" s="11">
        <f>='服务进度表-交付实施'!A121</f>
        <v>120</v>
      </c>
      <c r="C121" s="11" t="s">
        <f>='服务进度表-交付实施'!C121</f>
        <v>153</v>
      </c>
      <c r="D121" s="8" t="s">
        <f>='服务进度表-交付实施'!D121</f>
        <v>12</v>
      </c>
      <c r="E121" s="12">
        <f>='服务进度表-交付实施'!J121</f>
        <v>46108</v>
      </c>
      <c r="F121" s="8" t="s">
        <f>='服务进度表-交付实施'!L121</f>
        <v>26</v>
      </c>
      <c r="G121" s="13">
        <f>='服务进度表-交付实施'!M121</f>
        <v>46120</v>
      </c>
      <c r="H121" s="9">
        <f>=WORKDAY(E121,5)</f>
        <v>46115</v>
      </c>
      <c r="I121" s="9">
        <f>=WORKDAY(H121,1)</f>
        <v>46118</v>
      </c>
      <c r="J121" s="9">
        <f>=WORKDAY(I121,5)</f>
        <v>46125</v>
      </c>
      <c r="K121" s="9">
        <f>=WORKDAY(H121,5)</f>
        <v>46122</v>
      </c>
    </row>
    <row r="122" spans="1:11">
      <c r="A122" s="11">
        <f>='服务进度表-交付实施'!A122</f>
        <v>121</v>
      </c>
      <c r="C122" s="11" t="s">
        <f>='服务进度表-交付实施'!C122</f>
        <v>154</v>
      </c>
      <c r="D122" s="8" t="s">
        <f>='服务进度表-交付实施'!D122</f>
        <v>15</v>
      </c>
      <c r="E122" s="12">
        <f>='服务进度表-交付实施'!J122</f>
        <v>46113</v>
      </c>
      <c r="F122" s="8" t="s">
        <f>='服务进度表-交付实施'!L122</f>
        <v>155</v>
      </c>
      <c r="G122" s="13">
        <f>='服务进度表-交付实施'!M122</f>
        <v>46121</v>
      </c>
      <c r="H122" s="9">
        <f>=WORKDAY(E122,5)</f>
        <v>46120</v>
      </c>
      <c r="I122" s="9">
        <f>=WORKDAY(H122,1)</f>
        <v>46121</v>
      </c>
      <c r="J122" s="9">
        <f>=WORKDAY(I122,5)</f>
        <v>46128</v>
      </c>
      <c r="K122" s="9">
        <f>=WORKDAY(H122,5)</f>
        <v>46127</v>
      </c>
    </row>
    <row r="123" spans="1:11">
      <c r="A123" s="11">
        <f>='服务进度表-交付实施'!A123</f>
        <v>122</v>
      </c>
      <c r="C123" s="11" t="s">
        <f>='服务进度表-交付实施'!C123</f>
        <v>156</v>
      </c>
      <c r="D123" s="8" t="s">
        <f>='服务进度表-交付实施'!D123</f>
        <v>12</v>
      </c>
      <c r="E123" s="12">
        <f>='服务进度表-交付实施'!J123</f>
        <v>46111</v>
      </c>
      <c r="F123" s="8" t="s">
        <f>='服务进度表-交付实施'!L123</f>
        <v>26</v>
      </c>
      <c r="G123" s="13">
        <f>='服务进度表-交付实施'!M123</f>
        <v>46119</v>
      </c>
      <c r="H123" s="9">
        <f>=WORKDAY(E123,5)</f>
        <v>46118</v>
      </c>
      <c r="I123" s="9">
        <f>=WORKDAY(H123,1)</f>
        <v>46119</v>
      </c>
      <c r="J123" s="9">
        <f>=WORKDAY(I123,5)</f>
        <v>46126</v>
      </c>
      <c r="K123" s="9">
        <f>=WORKDAY(H123,5)</f>
        <v>46125</v>
      </c>
    </row>
    <row r="124" spans="1:11">
      <c r="A124" s="11">
        <f>='服务进度表-交付实施'!A124</f>
        <v>123</v>
      </c>
      <c r="C124" s="11" t="s">
        <f>='服务进度表-交付实施'!C124</f>
        <v>157</v>
      </c>
      <c r="D124" s="8" t="s">
        <f>='服务进度表-交付实施'!D124</f>
        <v>12</v>
      </c>
      <c r="E124" s="12">
        <f>='服务进度表-交付实施'!J124</f>
        <v>46112</v>
      </c>
      <c r="F124" s="8" t="s">
        <f>='服务进度表-交付实施'!L124</f>
        <v>26</v>
      </c>
      <c r="G124" s="13">
        <f>='服务进度表-交付实施'!M124</f>
        <v>0</v>
      </c>
      <c r="H124" s="9">
        <f>=WORKDAY(E124,5)</f>
        <v>46119</v>
      </c>
      <c r="I124" s="9">
        <f>=WORKDAY(H124,1)</f>
        <v>46120</v>
      </c>
      <c r="J124" s="9">
        <f>=WORKDAY(I124,5)</f>
        <v>46127</v>
      </c>
      <c r="K124" s="9">
        <f>=WORKDAY(H124,5)</f>
        <v>46126</v>
      </c>
    </row>
    <row r="125" spans="1:11">
      <c r="A125" s="11">
        <f>='服务进度表-交付实施'!A125</f>
        <v>124</v>
      </c>
      <c r="C125" s="11" t="s">
        <f>='服务进度表-交付实施'!C125</f>
        <v>158</v>
      </c>
      <c r="D125" s="8" t="s">
        <f>='服务进度表-交付实施'!D125</f>
        <v>12</v>
      </c>
      <c r="E125" s="12">
        <f>='服务进度表-交付实施'!J125</f>
        <v>0</v>
      </c>
      <c r="F125" s="8">
        <f>='服务进度表-交付实施'!L125</f>
        <v>0</v>
      </c>
      <c r="G125" s="13">
        <f>='服务进度表-交付实施'!M125</f>
        <v>0</v>
      </c>
      <c r="H125" s="9">
        <f>=WORKDAY(E125,5)</f>
        <v>6</v>
      </c>
      <c r="I125" s="9">
        <f>=WORKDAY(H125,1)</f>
        <v>9</v>
      </c>
      <c r="J125" s="9">
        <f>=WORKDAY(I125,5)</f>
        <v>16</v>
      </c>
      <c r="K125" s="9">
        <f>=WORKDAY(H125,5)</f>
        <v>13</v>
      </c>
    </row>
    <row r="126" spans="1:11">
      <c r="A126" s="11">
        <f>='服务进度表-交付实施'!A126</f>
        <v>125</v>
      </c>
      <c r="C126" s="11" t="s">
        <f>='服务进度表-交付实施'!C126</f>
        <v>159</v>
      </c>
      <c r="D126" s="8" t="s">
        <f>='服务进度表-交付实施'!D126</f>
        <v>12</v>
      </c>
      <c r="E126" s="12">
        <f>='服务进度表-交付实施'!J126</f>
        <v>46119</v>
      </c>
      <c r="F126" s="8" t="s">
        <f>='服务进度表-交付实施'!L126</f>
        <v>26</v>
      </c>
      <c r="G126" s="13">
        <f>='服务进度表-交付实施'!M126</f>
        <v>0</v>
      </c>
      <c r="H126" s="9">
        <f>=WORKDAY(E126,5)</f>
        <v>46126</v>
      </c>
      <c r="I126" s="9">
        <f>=WORKDAY(H126,1)</f>
        <v>46127</v>
      </c>
      <c r="J126" s="9">
        <f>=WORKDAY(I126,5)</f>
        <v>46134</v>
      </c>
      <c r="K126" s="9">
        <f>=WORKDAY(H126,5)</f>
        <v>46133</v>
      </c>
    </row>
    <row r="127" spans="1:11">
      <c r="A127" s="11">
        <f>='服务进度表-交付实施'!A127</f>
        <v>126</v>
      </c>
      <c r="C127" s="11" t="s">
        <f>='服务进度表-交付实施'!C127</f>
        <v>160</v>
      </c>
      <c r="D127" s="8" t="s">
        <f>='服务进度表-交付实施'!D127</f>
        <v>12</v>
      </c>
      <c r="E127" s="12">
        <f>='服务进度表-交付实施'!J127</f>
        <v>46121</v>
      </c>
      <c r="F127" s="8" t="s">
        <f>='服务进度表-交付实施'!L127</f>
        <v>26</v>
      </c>
      <c r="G127" s="13">
        <f>='服务进度表-交付实施'!M127</f>
        <v>0</v>
      </c>
      <c r="H127" s="9">
        <f>=WORKDAY(E127,5)</f>
        <v>46128</v>
      </c>
      <c r="I127" s="9">
        <f>=WORKDAY(H127,1)</f>
        <v>46129</v>
      </c>
      <c r="J127" s="9">
        <f>=WORKDAY(I127,5)</f>
        <v>46136</v>
      </c>
      <c r="K127" s="9">
        <f>=WORKDAY(H127,5)</f>
        <v>46135</v>
      </c>
    </row>
    <row r="128" spans="1:11">
      <c r="A128" s="11">
        <f>='服务进度表-交付实施'!A128</f>
        <v>127</v>
      </c>
      <c r="C128" s="11" t="s">
        <f>='服务进度表-交付实施'!C128</f>
        <v>161</v>
      </c>
      <c r="D128" s="8" t="s">
        <f>='服务进度表-交付实施'!D128</f>
        <v>12</v>
      </c>
      <c r="E128" s="12">
        <f>='服务进度表-交付实施'!J128</f>
        <v>0</v>
      </c>
      <c r="F128" s="8">
        <f>='服务进度表-交付实施'!L128</f>
        <v>0</v>
      </c>
      <c r="G128" s="13">
        <f>='服务进度表-交付实施'!M128</f>
        <v>0</v>
      </c>
      <c r="H128" s="9">
        <f>=WORKDAY(E128,5)</f>
        <v>6</v>
      </c>
      <c r="I128" s="9">
        <f>=WORKDAY(H128,1)</f>
        <v>9</v>
      </c>
      <c r="J128" s="9">
        <f>=WORKDAY(I128,5)</f>
        <v>16</v>
      </c>
      <c r="K128" s="9">
        <f>=WORKDAY(H128,5)</f>
        <v>13</v>
      </c>
    </row>
    <row r="129" spans="1:11">
      <c r="A129" s="11">
        <f>='服务进度表-交付实施'!A129</f>
        <v>128</v>
      </c>
      <c r="C129" s="11" t="s">
        <f>='服务进度表-交付实施'!C129</f>
        <v>162</v>
      </c>
      <c r="D129" s="8" t="s">
        <f>='服务进度表-交付实施'!D129</f>
        <v>15</v>
      </c>
      <c r="E129" s="12">
        <f>='服务进度表-交付实施'!J129</f>
        <v>46112</v>
      </c>
      <c r="F129" s="8" t="s">
        <f>='服务进度表-交付实施'!L129</f>
        <v>163</v>
      </c>
      <c r="G129" s="13">
        <f>='服务进度表-交付实施'!M129</f>
        <v>46125</v>
      </c>
      <c r="H129" s="9">
        <f>=WORKDAY(E129,5)</f>
        <v>46119</v>
      </c>
      <c r="I129" s="9">
        <f>=WORKDAY(H129,1)</f>
        <v>46120</v>
      </c>
      <c r="J129" s="9">
        <f>=WORKDAY(I129,5)</f>
        <v>46127</v>
      </c>
      <c r="K129" s="9">
        <f>=WORKDAY(H129,5)</f>
        <v>46126</v>
      </c>
    </row>
    <row r="130" spans="1:11">
      <c r="A130" s="11">
        <f>='服务进度表-交付实施'!A130</f>
        <v>129</v>
      </c>
      <c r="C130" s="11" t="s">
        <f>='服务进度表-交付实施'!C130</f>
        <v>164</v>
      </c>
      <c r="D130" s="8" t="s">
        <f>='服务进度表-交付实施'!D130</f>
        <v>12</v>
      </c>
      <c r="E130" s="12">
        <f>='服务进度表-交付实施'!J130</f>
        <v>46120</v>
      </c>
      <c r="F130" s="8">
        <f>='服务进度表-交付实施'!L130</f>
        <v>0</v>
      </c>
      <c r="G130" s="13">
        <f>='服务进度表-交付实施'!M130</f>
        <v>0</v>
      </c>
      <c r="H130" s="9">
        <f>=WORKDAY(E130,5)</f>
        <v>46127</v>
      </c>
      <c r="I130" s="9">
        <f>=WORKDAY(H130,1)</f>
        <v>46128</v>
      </c>
      <c r="J130" s="9">
        <f>=WORKDAY(I130,5)</f>
        <v>46135</v>
      </c>
      <c r="K130" s="9">
        <f>=WORKDAY(H130,5)</f>
        <v>46134</v>
      </c>
    </row>
    <row r="131" spans="1:11">
      <c r="A131" s="11">
        <f>='服务进度表-交付实施'!A131</f>
        <v>130</v>
      </c>
      <c r="C131" s="11" t="s">
        <f>='服务进度表-交付实施'!C131</f>
        <v>165</v>
      </c>
      <c r="D131" s="8" t="s">
        <f>='服务进度表-交付实施'!D131</f>
        <v>12</v>
      </c>
      <c r="E131" s="12">
        <f>='服务进度表-交付实施'!J131</f>
        <v>0</v>
      </c>
      <c r="F131" s="8">
        <f>='服务进度表-交付实施'!L131</f>
        <v>0</v>
      </c>
      <c r="G131" s="13">
        <f>='服务进度表-交付实施'!M131</f>
        <v>0</v>
      </c>
      <c r="H131" s="9">
        <f>=WORKDAY(E131,5)</f>
        <v>6</v>
      </c>
      <c r="I131" s="9">
        <f>=WORKDAY(H131,1)</f>
        <v>9</v>
      </c>
      <c r="J131" s="9">
        <f>=WORKDAY(I131,5)</f>
        <v>16</v>
      </c>
      <c r="K131" s="9">
        <f>=WORKDAY(H131,5)</f>
        <v>13</v>
      </c>
    </row>
    <row r="132" spans="1:11">
      <c r="A132" s="11">
        <f>='服务进度表-交付实施'!A132</f>
        <v>131</v>
      </c>
      <c r="C132" s="11" t="s">
        <f>='服务进度表-交付实施'!C132</f>
        <v>166</v>
      </c>
      <c r="D132" s="8" t="s">
        <f>='服务进度表-交付实施'!D132</f>
        <v>12</v>
      </c>
      <c r="E132" s="12">
        <f>='服务进度表-交付实施'!J132</f>
        <v>46113</v>
      </c>
      <c r="F132" s="8" t="s">
        <f>='服务进度表-交付实施'!L132</f>
        <v>26</v>
      </c>
      <c r="G132" s="13">
        <f>='服务进度表-交付实施'!M132</f>
        <v>0</v>
      </c>
      <c r="H132" s="9">
        <f>=WORKDAY(E132,5)</f>
        <v>46120</v>
      </c>
      <c r="I132" s="9">
        <f>=WORKDAY(H132,1)</f>
        <v>46121</v>
      </c>
      <c r="J132" s="9">
        <f>=WORKDAY(I132,5)</f>
        <v>46128</v>
      </c>
      <c r="K132" s="9">
        <f>=WORKDAY(H132,5)</f>
        <v>46127</v>
      </c>
    </row>
    <row r="133" spans="1:11">
      <c r="A133" s="11">
        <f>='服务进度表-交付实施'!A133</f>
        <v>132</v>
      </c>
      <c r="C133" s="11" t="s">
        <f>='服务进度表-交付实施'!C133</f>
        <v>167</v>
      </c>
      <c r="D133" s="8" t="s">
        <f>='服务进度表-交付实施'!D133</f>
        <v>12</v>
      </c>
      <c r="E133" s="12">
        <f>='服务进度表-交付实施'!J133</f>
        <v>46120</v>
      </c>
      <c r="F133" s="8" t="s">
        <f>='服务进度表-交付实施'!L133</f>
        <v>26</v>
      </c>
      <c r="G133" s="13">
        <f>='服务进度表-交付实施'!M133</f>
        <v>0</v>
      </c>
      <c r="H133" s="9">
        <f>=WORKDAY(E133,5)</f>
        <v>46127</v>
      </c>
      <c r="I133" s="9">
        <f>=WORKDAY(H133,1)</f>
        <v>46128</v>
      </c>
      <c r="J133" s="9">
        <f>=WORKDAY(I133,5)</f>
        <v>46135</v>
      </c>
      <c r="K133" s="9">
        <f>=WORKDAY(H133,5)</f>
        <v>46134</v>
      </c>
    </row>
    <row r="134" spans="1:11">
      <c r="A134" s="11">
        <f>='服务进度表-交付实施'!A134</f>
        <v>133</v>
      </c>
      <c r="C134" s="11" t="s">
        <f>='服务进度表-交付实施'!C134</f>
        <v>168</v>
      </c>
      <c r="D134" s="8" t="s">
        <f>='服务进度表-交付实施'!D134</f>
        <v>12</v>
      </c>
      <c r="E134" s="12">
        <f>='服务进度表-交付实施'!J134</f>
        <v>46113</v>
      </c>
      <c r="F134" s="8" t="s">
        <f>='服务进度表-交付实施'!L134</f>
        <v>18</v>
      </c>
      <c r="G134" s="13">
        <f>='服务进度表-交付实施'!M134</f>
        <v>0</v>
      </c>
      <c r="H134" s="9">
        <f>=WORKDAY(E134,5)</f>
        <v>46120</v>
      </c>
      <c r="I134" s="9">
        <f>=WORKDAY(H134,1)</f>
        <v>46121</v>
      </c>
      <c r="J134" s="9">
        <f>=WORKDAY(I134,5)</f>
        <v>46128</v>
      </c>
      <c r="K134" s="9">
        <f>=WORKDAY(H134,5)</f>
        <v>46127</v>
      </c>
    </row>
    <row r="135" spans="1:11">
      <c r="A135" s="11">
        <f>='服务进度表-交付实施'!A135</f>
        <v>134</v>
      </c>
      <c r="C135" s="11" t="s">
        <f>='服务进度表-交付实施'!C135</f>
        <v>169</v>
      </c>
      <c r="D135" s="8" t="s">
        <f>='服务进度表-交付实施'!D135</f>
        <v>12</v>
      </c>
      <c r="E135" s="12">
        <f>='服务进度表-交付实施'!J135</f>
        <v>46113</v>
      </c>
      <c r="F135" s="8" t="s">
        <f>='服务进度表-交付实施'!L135</f>
        <v>18</v>
      </c>
      <c r="G135" s="13">
        <f>='服务进度表-交付实施'!M135</f>
        <v>0</v>
      </c>
      <c r="H135" s="9">
        <f>=WORKDAY(E135,5)</f>
        <v>46120</v>
      </c>
      <c r="I135" s="9">
        <f>=WORKDAY(H135,1)</f>
        <v>46121</v>
      </c>
      <c r="J135" s="9">
        <f>=WORKDAY(I135,5)</f>
        <v>46128</v>
      </c>
      <c r="K135" s="9">
        <f>=WORKDAY(H135,5)</f>
        <v>46127</v>
      </c>
    </row>
    <row r="136" spans="1:11">
      <c r="A136" s="11">
        <f>='服务进度表-交付实施'!A136</f>
        <v>135</v>
      </c>
      <c r="C136" s="11" t="s">
        <f>='服务进度表-交付实施'!C136</f>
        <v>170</v>
      </c>
      <c r="D136" s="8" t="s">
        <f>='服务进度表-交付实施'!D136</f>
        <v>12</v>
      </c>
      <c r="E136" s="12">
        <f>='服务进度表-交付实施'!J136</f>
        <v>46114</v>
      </c>
      <c r="F136" s="8" t="s">
        <f>='服务进度表-交付实施'!L136</f>
        <v>18</v>
      </c>
      <c r="G136" s="13">
        <f>='服务进度表-交付实施'!M136</f>
        <v>0</v>
      </c>
      <c r="H136" s="9">
        <f>=WORKDAY(E136,5)</f>
        <v>46121</v>
      </c>
      <c r="I136" s="9">
        <f>=WORKDAY(H136,1)</f>
        <v>46122</v>
      </c>
      <c r="J136" s="9">
        <f>=WORKDAY(I136,5)</f>
        <v>46129</v>
      </c>
      <c r="K136" s="9">
        <f>=WORKDAY(H136,5)</f>
        <v>46128</v>
      </c>
    </row>
    <row r="137" spans="1:11">
      <c r="A137" s="11">
        <f>='服务进度表-交付实施'!A137</f>
        <v>136</v>
      </c>
      <c r="C137" s="11" t="s">
        <f>='服务进度表-交付实施'!C137</f>
        <v>171</v>
      </c>
      <c r="D137" s="8" t="s">
        <f>='服务进度表-交付实施'!D137</f>
        <v>15</v>
      </c>
      <c r="E137" s="12">
        <f>='服务进度表-交付实施'!J137</f>
        <v>46113</v>
      </c>
      <c r="F137" s="8" t="s">
        <f>='服务进度表-交付实施'!L137</f>
        <v>172</v>
      </c>
      <c r="G137" s="13">
        <f>='服务进度表-交付实施'!M137</f>
        <v>0</v>
      </c>
      <c r="H137" s="9">
        <f>=WORKDAY(E137,5)</f>
        <v>46120</v>
      </c>
      <c r="I137" s="9">
        <f>=WORKDAY(H137,1)</f>
        <v>46121</v>
      </c>
      <c r="J137" s="9">
        <f>=WORKDAY(I137,5)</f>
        <v>46128</v>
      </c>
      <c r="K137" s="9">
        <f>=WORKDAY(H137,5)</f>
        <v>46127</v>
      </c>
    </row>
    <row r="138" spans="1:11">
      <c r="A138" s="11">
        <f>='服务进度表-交付实施'!A138</f>
        <v>137</v>
      </c>
      <c r="C138" s="11" t="s">
        <f>='服务进度表-交付实施'!C138</f>
        <v>173</v>
      </c>
      <c r="D138" s="8" t="s">
        <f>='服务进度表-交付实施'!D138</f>
        <v>15</v>
      </c>
      <c r="E138" s="12">
        <f>='服务进度表-交付实施'!J138</f>
        <v>46126</v>
      </c>
      <c r="F138" s="8" t="s">
        <f>='服务进度表-交付实施'!L138</f>
        <v>174</v>
      </c>
      <c r="G138" s="13">
        <f>='服务进度表-交付实施'!M138</f>
        <v>0</v>
      </c>
      <c r="H138" s="9">
        <f>=WORKDAY(E138,5)</f>
        <v>46133</v>
      </c>
      <c r="I138" s="9">
        <f>=WORKDAY(H138,1)</f>
        <v>46134</v>
      </c>
      <c r="J138" s="9">
        <f>=WORKDAY(I138,5)</f>
        <v>46141</v>
      </c>
      <c r="K138" s="9">
        <f>=WORKDAY(H138,5)</f>
        <v>46140</v>
      </c>
    </row>
    <row r="139" spans="1:11">
      <c r="A139" s="11">
        <f>='服务进度表-交付实施'!A139</f>
        <v>138</v>
      </c>
      <c r="C139" s="11" t="s">
        <f>='服务进度表-交付实施'!C139</f>
        <v>175</v>
      </c>
      <c r="D139" s="8" t="s">
        <f>='服务进度表-交付实施'!D139</f>
        <v>12</v>
      </c>
      <c r="E139" s="12">
        <f>='服务进度表-交付实施'!J139</f>
        <v>46122</v>
      </c>
      <c r="F139" s="8" t="s">
        <f>='服务进度表-交付实施'!L139</f>
        <v>35</v>
      </c>
      <c r="G139" s="13">
        <f>='服务进度表-交付实施'!M139</f>
        <v>0</v>
      </c>
      <c r="H139" s="9">
        <f>=WORKDAY(E139,5)</f>
        <v>46129</v>
      </c>
      <c r="I139" s="9">
        <f>=WORKDAY(H139,1)</f>
        <v>46132</v>
      </c>
      <c r="J139" s="9">
        <f>=WORKDAY(I139,5)</f>
        <v>46139</v>
      </c>
      <c r="K139" s="9">
        <f>=WORKDAY(H139,5)</f>
        <v>46136</v>
      </c>
    </row>
    <row r="140" spans="1:11">
      <c r="A140" s="11">
        <f>='服务进度表-交付实施'!A140</f>
        <v>139</v>
      </c>
      <c r="C140" s="11" t="s">
        <f>='服务进度表-交付实施'!C140</f>
        <v>176</v>
      </c>
      <c r="D140" s="8" t="s">
        <f>='服务进度表-交付实施'!D140</f>
        <v>12</v>
      </c>
      <c r="E140" s="12">
        <f>='服务进度表-交付实施'!J140</f>
        <v>46119</v>
      </c>
      <c r="F140" s="8" t="s">
        <f>='服务进度表-交付实施'!L140</f>
        <v>18</v>
      </c>
      <c r="G140" s="13">
        <f>='服务进度表-交付实施'!M140</f>
        <v>0</v>
      </c>
      <c r="H140" s="9">
        <f>=WORKDAY(E140,5)</f>
        <v>46126</v>
      </c>
      <c r="I140" s="9">
        <f>=WORKDAY(H140,1)</f>
        <v>46127</v>
      </c>
      <c r="J140" s="9">
        <f>=WORKDAY(I140,5)</f>
        <v>46134</v>
      </c>
      <c r="K140" s="9">
        <f>=WORKDAY(H140,5)</f>
        <v>46133</v>
      </c>
    </row>
    <row r="141" spans="1:11">
      <c r="A141" s="11">
        <f>='服务进度表-交付实施'!A141</f>
        <v>140</v>
      </c>
      <c r="C141" s="11" t="s">
        <f>='服务进度表-交付实施'!C141</f>
        <v>177</v>
      </c>
      <c r="D141" s="8" t="s">
        <f>='服务进度表-交付实施'!D141</f>
        <v>12</v>
      </c>
      <c r="E141" s="12">
        <f>='服务进度表-交付实施'!J141</f>
        <v>46114</v>
      </c>
      <c r="F141" s="8" t="s">
        <f>='服务进度表-交付实施'!L141</f>
        <v>26</v>
      </c>
      <c r="G141" s="13">
        <f>='服务进度表-交付实施'!M141</f>
        <v>0</v>
      </c>
      <c r="H141" s="9">
        <f>=WORKDAY(E141,5)</f>
        <v>46121</v>
      </c>
      <c r="I141" s="9">
        <f>=WORKDAY(H141,1)</f>
        <v>46122</v>
      </c>
      <c r="J141" s="9">
        <f>=WORKDAY(I141,5)</f>
        <v>46129</v>
      </c>
      <c r="K141" s="9">
        <f>=WORKDAY(H141,5)</f>
        <v>46128</v>
      </c>
    </row>
    <row r="142" spans="1:11">
      <c r="A142" s="11">
        <f>='服务进度表-交付实施'!A142</f>
        <v>141</v>
      </c>
      <c r="C142" s="11" t="s">
        <f>='服务进度表-交付实施'!C142</f>
        <v>178</v>
      </c>
      <c r="D142" s="8" t="s">
        <f>='服务进度表-交付实施'!D142</f>
        <v>12</v>
      </c>
      <c r="E142" s="12">
        <f>='服务进度表-交付实施'!J142</f>
        <v>46120</v>
      </c>
      <c r="F142" s="8" t="s">
        <f>='服务进度表-交付实施'!L142</f>
        <v>18</v>
      </c>
      <c r="G142" s="13">
        <f>='服务进度表-交付实施'!M142</f>
        <v>0</v>
      </c>
      <c r="H142" s="9">
        <f>=WORKDAY(E142,5)</f>
        <v>46127</v>
      </c>
      <c r="I142" s="9">
        <f>=WORKDAY(H142,1)</f>
        <v>46128</v>
      </c>
      <c r="J142" s="9">
        <f>=WORKDAY(I142,5)</f>
        <v>46135</v>
      </c>
      <c r="K142" s="9">
        <f>=WORKDAY(H142,5)</f>
        <v>46134</v>
      </c>
    </row>
    <row r="143" spans="1:11">
      <c r="A143" s="11">
        <f>='服务进度表-交付实施'!A143</f>
        <v>142</v>
      </c>
      <c r="C143" s="11" t="s">
        <f>='服务进度表-交付实施'!C143</f>
        <v>179</v>
      </c>
      <c r="D143" s="8" t="s">
        <f>='服务进度表-交付实施'!D143</f>
        <v>15</v>
      </c>
      <c r="E143" s="12">
        <f>='服务进度表-交付实施'!J143</f>
        <v>46113</v>
      </c>
      <c r="F143" s="8" t="s">
        <f>='服务进度表-交付实施'!L143</f>
        <v>180</v>
      </c>
      <c r="G143" s="13">
        <f>='服务进度表-交付实施'!M143</f>
        <v>0</v>
      </c>
      <c r="H143" s="9">
        <f>=WORKDAY(E143,5)</f>
        <v>46120</v>
      </c>
      <c r="I143" s="9">
        <f>=WORKDAY(H143,1)</f>
        <v>46121</v>
      </c>
      <c r="J143" s="9">
        <f>=WORKDAY(I143,5)</f>
        <v>46128</v>
      </c>
      <c r="K143" s="9">
        <f>=WORKDAY(H143,5)</f>
        <v>46127</v>
      </c>
    </row>
    <row r="144" spans="1:11">
      <c r="A144" s="11">
        <f>='服务进度表-交付实施'!A144</f>
        <v>143</v>
      </c>
      <c r="C144" s="11" t="s">
        <f>='服务进度表-交付实施'!C144</f>
        <v>181</v>
      </c>
      <c r="D144" s="8" t="s">
        <f>='服务进度表-交付实施'!D144</f>
        <v>12</v>
      </c>
      <c r="E144" s="12">
        <f>='服务进度表-交付实施'!J144</f>
        <v>46120</v>
      </c>
      <c r="F144" s="8" t="s">
        <f>='服务进度表-交付实施'!L144</f>
        <v>26</v>
      </c>
      <c r="G144" s="13">
        <f>='服务进度表-交付实施'!M144</f>
        <v>0</v>
      </c>
      <c r="H144" s="9">
        <f>=WORKDAY(E144,5)</f>
        <v>46127</v>
      </c>
      <c r="I144" s="9">
        <f>=WORKDAY(H144,1)</f>
        <v>46128</v>
      </c>
      <c r="J144" s="9">
        <f>=WORKDAY(I144,5)</f>
        <v>46135</v>
      </c>
      <c r="K144" s="9">
        <f>=WORKDAY(H144,5)</f>
        <v>46134</v>
      </c>
    </row>
    <row r="145" spans="1:11">
      <c r="A145" s="11">
        <f>='服务进度表-交付实施'!A145</f>
        <v>144</v>
      </c>
      <c r="C145" s="11" t="s">
        <f>='服务进度表-交付实施'!C145</f>
        <v>182</v>
      </c>
      <c r="D145" s="8" t="s">
        <f>='服务进度表-交付实施'!D145</f>
        <v>12</v>
      </c>
      <c r="E145" s="12">
        <f>='服务进度表-交付实施'!J145</f>
        <v>46125</v>
      </c>
      <c r="F145" s="8" t="s">
        <f>='服务进度表-交付实施'!L145</f>
        <v>26</v>
      </c>
      <c r="G145" s="13">
        <f>='服务进度表-交付实施'!M145</f>
        <v>0</v>
      </c>
      <c r="H145" s="9">
        <f>=WORKDAY(E145,5)</f>
        <v>46132</v>
      </c>
      <c r="I145" s="9">
        <f>=WORKDAY(H145,1)</f>
        <v>46133</v>
      </c>
      <c r="J145" s="9">
        <f>=WORKDAY(I145,5)</f>
        <v>46140</v>
      </c>
      <c r="K145" s="9">
        <f>=WORKDAY(H145,5)</f>
        <v>46139</v>
      </c>
    </row>
    <row r="146" spans="1:11">
      <c r="A146" s="11">
        <f>='服务进度表-交付实施'!A146</f>
        <v>145</v>
      </c>
      <c r="C146" s="11" t="s">
        <f>='服务进度表-交付实施'!C146</f>
        <v>183</v>
      </c>
      <c r="D146" s="8" t="s">
        <f>='服务进度表-交付实施'!D146</f>
        <v>12</v>
      </c>
      <c r="E146" s="12">
        <f>='服务进度表-交付实施'!J146</f>
        <v>46119</v>
      </c>
      <c r="F146" s="8" t="s">
        <f>='服务进度表-交付实施'!L146</f>
        <v>26</v>
      </c>
      <c r="G146" s="13">
        <f>='服务进度表-交付实施'!M146</f>
        <v>46125</v>
      </c>
      <c r="H146" s="9">
        <f>=WORKDAY(E146,5)</f>
        <v>46126</v>
      </c>
      <c r="I146" s="9">
        <f>=WORKDAY(H146,1)</f>
        <v>46127</v>
      </c>
      <c r="J146" s="9">
        <f>=WORKDAY(I146,5)</f>
        <v>46134</v>
      </c>
      <c r="K146" s="9">
        <f>=WORKDAY(H146,5)</f>
        <v>46133</v>
      </c>
    </row>
    <row r="147" spans="1:11">
      <c r="A147" s="11">
        <f>='服务进度表-交付实施'!A147</f>
        <v>146</v>
      </c>
      <c r="C147" s="11" t="s">
        <f>='服务进度表-交付实施'!C147</f>
        <v>184</v>
      </c>
      <c r="D147" s="8" t="s">
        <f>='服务进度表-交付实施'!D147</f>
        <v>15</v>
      </c>
      <c r="E147" s="12">
        <f>='服务进度表-交付实施'!J147</f>
        <v>46119</v>
      </c>
      <c r="F147" s="8" t="s">
        <f>='服务进度表-交付实施'!L147</f>
        <v>185</v>
      </c>
      <c r="G147" s="13">
        <f>='服务进度表-交付实施'!M147</f>
        <v>0</v>
      </c>
      <c r="H147" s="9">
        <f>=WORKDAY(E147,5)</f>
        <v>46126</v>
      </c>
      <c r="I147" s="9">
        <f>=WORKDAY(H147,1)</f>
        <v>46127</v>
      </c>
      <c r="J147" s="9">
        <f>=WORKDAY(I147,5)</f>
        <v>46134</v>
      </c>
      <c r="K147" s="9">
        <f>=WORKDAY(H147,5)</f>
        <v>46133</v>
      </c>
    </row>
    <row r="148" spans="1:11">
      <c r="A148" s="11">
        <f>='服务进度表-交付实施'!A148</f>
        <v>147</v>
      </c>
      <c r="C148" s="11" t="s">
        <f>='服务进度表-交付实施'!C148</f>
        <v>186</v>
      </c>
      <c r="D148" s="8" t="s">
        <f>='服务进度表-交付实施'!D148</f>
        <v>12</v>
      </c>
      <c r="E148" s="12">
        <f>='服务进度表-交付实施'!J148</f>
        <v>46126</v>
      </c>
      <c r="F148" s="8" t="s">
        <f>='服务进度表-交付实施'!L148</f>
        <v>18</v>
      </c>
      <c r="G148" s="13">
        <f>='服务进度表-交付实施'!M148</f>
        <v>0</v>
      </c>
      <c r="H148" s="9">
        <f>=WORKDAY(E148,5)</f>
        <v>46133</v>
      </c>
      <c r="I148" s="9">
        <f>=WORKDAY(H148,1)</f>
        <v>46134</v>
      </c>
      <c r="J148" s="9">
        <f>=WORKDAY(I148,5)</f>
        <v>46141</v>
      </c>
      <c r="K148" s="9">
        <f>=WORKDAY(H148,5)</f>
        <v>46140</v>
      </c>
    </row>
    <row r="149" spans="1:11">
      <c r="A149" s="11">
        <f>='服务进度表-交付实施'!A149</f>
        <v>148</v>
      </c>
      <c r="C149" s="11" t="s">
        <f>='服务进度表-交付实施'!C149</f>
        <v>187</v>
      </c>
      <c r="D149" s="8" t="s">
        <f>='服务进度表-交付实施'!D149</f>
        <v>12</v>
      </c>
      <c r="E149" s="12">
        <f>='服务进度表-交付实施'!J149</f>
        <v>46119</v>
      </c>
      <c r="F149" s="8" t="s">
        <f>='服务进度表-交付实施'!L149</f>
        <v>26</v>
      </c>
      <c r="G149" s="13">
        <f>='服务进度表-交付实施'!M149</f>
        <v>0</v>
      </c>
      <c r="H149" s="9">
        <f>=WORKDAY(E149,5)</f>
        <v>46126</v>
      </c>
      <c r="I149" s="9">
        <f>=WORKDAY(H149,1)</f>
        <v>46127</v>
      </c>
      <c r="J149" s="9">
        <f>=WORKDAY(I149,5)</f>
        <v>46134</v>
      </c>
      <c r="K149" s="9">
        <f>=WORKDAY(H149,5)</f>
        <v>46133</v>
      </c>
    </row>
    <row r="150" spans="1:11">
      <c r="A150" s="11">
        <f>='服务进度表-交付实施'!A150</f>
        <v>149</v>
      </c>
      <c r="C150" s="11" t="s">
        <f>='服务进度表-交付实施'!C150</f>
        <v>188</v>
      </c>
      <c r="D150" s="8" t="s">
        <f>='服务进度表-交付实施'!D150</f>
        <v>12</v>
      </c>
      <c r="E150" s="12">
        <f>='服务进度表-交付实施'!J150</f>
        <v>46113</v>
      </c>
      <c r="F150" s="8" t="s">
        <f>='服务进度表-交付实施'!L150</f>
        <v>26</v>
      </c>
      <c r="G150" s="13">
        <f>='服务进度表-交付实施'!M150</f>
        <v>0</v>
      </c>
      <c r="H150" s="9">
        <f>=WORKDAY(E150,5)</f>
        <v>46120</v>
      </c>
      <c r="I150" s="9">
        <f>=WORKDAY(H150,1)</f>
        <v>46121</v>
      </c>
      <c r="J150" s="9">
        <f>=WORKDAY(I150,5)</f>
        <v>46128</v>
      </c>
      <c r="K150" s="9">
        <f>=WORKDAY(H150,5)</f>
        <v>46127</v>
      </c>
    </row>
    <row r="151" spans="1:11">
      <c r="A151" s="11">
        <f>='服务进度表-交付实施'!A151</f>
        <v>150</v>
      </c>
      <c r="C151" s="11" t="s">
        <f>='服务进度表-交付实施'!C151</f>
        <v>189</v>
      </c>
      <c r="D151" s="8" t="s">
        <f>='服务进度表-交付实施'!D151</f>
        <v>12</v>
      </c>
      <c r="E151" s="12">
        <f>='服务进度表-交付实施'!J151</f>
        <v>46119</v>
      </c>
      <c r="F151" s="8" t="s">
        <f>='服务进度表-交付实施'!L151</f>
        <v>35</v>
      </c>
      <c r="G151" s="13">
        <f>='服务进度表-交付实施'!M151</f>
        <v>0</v>
      </c>
      <c r="H151" s="9">
        <f>=WORKDAY(E151,5)</f>
        <v>46126</v>
      </c>
      <c r="I151" s="9">
        <f>=WORKDAY(H151,1)</f>
        <v>46127</v>
      </c>
      <c r="J151" s="9">
        <f>=WORKDAY(I151,5)</f>
        <v>46134</v>
      </c>
      <c r="K151" s="9">
        <f>=WORKDAY(H151,5)</f>
        <v>46133</v>
      </c>
    </row>
    <row r="152" spans="1:11">
      <c r="A152" s="11">
        <f>='服务进度表-交付实施'!A152</f>
        <v>151</v>
      </c>
      <c r="C152" s="11" t="s">
        <f>='服务进度表-交付实施'!C152</f>
        <v>190</v>
      </c>
      <c r="D152" s="8" t="s">
        <f>='服务进度表-交付实施'!D152</f>
        <v>12</v>
      </c>
      <c r="E152" s="12">
        <f>='服务进度表-交付实施'!J152</f>
        <v>46120</v>
      </c>
      <c r="F152" s="8" t="s">
        <f>='服务进度表-交付实施'!L152</f>
        <v>26</v>
      </c>
      <c r="G152" s="13">
        <f>='服务进度表-交付实施'!M152</f>
        <v>0</v>
      </c>
      <c r="H152" s="9">
        <f>=WORKDAY(E152,5)</f>
        <v>46127</v>
      </c>
      <c r="I152" s="9">
        <f>=WORKDAY(H152,1)</f>
        <v>46128</v>
      </c>
      <c r="J152" s="9">
        <f>=WORKDAY(I152,5)</f>
        <v>46135</v>
      </c>
      <c r="K152" s="9">
        <f>=WORKDAY(H152,5)</f>
        <v>46134</v>
      </c>
    </row>
    <row r="153" spans="1:11">
      <c r="A153" s="11">
        <f>='服务进度表-交付实施'!A153</f>
        <v>152</v>
      </c>
      <c r="C153" s="11" t="s">
        <f>='服务进度表-交付实施'!C153</f>
        <v>191</v>
      </c>
      <c r="D153" s="8" t="s">
        <f>='服务进度表-交付实施'!D153</f>
        <v>15</v>
      </c>
      <c r="E153" s="12">
        <f>='服务进度表-交付实施'!J153</f>
        <v>46114</v>
      </c>
      <c r="F153" s="8" t="s">
        <f>='服务进度表-交付实施'!L153</f>
        <v>192</v>
      </c>
      <c r="G153" s="13">
        <f>='服务进度表-交付实施'!M153</f>
        <v>0</v>
      </c>
      <c r="H153" s="9">
        <f>=WORKDAY(E153,5)</f>
        <v>46121</v>
      </c>
      <c r="I153" s="9">
        <f>=WORKDAY(H153,1)</f>
        <v>46122</v>
      </c>
      <c r="J153" s="9">
        <f>=WORKDAY(I153,5)</f>
        <v>46129</v>
      </c>
      <c r="K153" s="9">
        <f>=WORKDAY(H153,5)</f>
        <v>46128</v>
      </c>
    </row>
    <row r="154" spans="1:11">
      <c r="A154" s="11">
        <f>='服务进度表-交付实施'!A154</f>
        <v>153</v>
      </c>
      <c r="C154" s="11" t="s">
        <f>='服务进度表-交付实施'!C154</f>
        <v>193</v>
      </c>
      <c r="D154" s="8" t="s">
        <f>='服务进度表-交付实施'!D154</f>
        <v>15</v>
      </c>
      <c r="E154" s="12">
        <f>='服务进度表-交付实施'!J154</f>
        <v>46126</v>
      </c>
      <c r="F154" s="8" t="s">
        <f>='服务进度表-交付实施'!L154</f>
        <v>194</v>
      </c>
      <c r="G154" s="13">
        <f>='服务进度表-交付实施'!M154</f>
        <v>0</v>
      </c>
      <c r="H154" s="9">
        <f>=WORKDAY(E154,5)</f>
        <v>46133</v>
      </c>
      <c r="I154" s="9">
        <f>=WORKDAY(H154,1)</f>
        <v>46134</v>
      </c>
      <c r="J154" s="9">
        <f>=WORKDAY(I154,5)</f>
        <v>46141</v>
      </c>
      <c r="K154" s="9">
        <f>=WORKDAY(H154,5)</f>
        <v>46140</v>
      </c>
    </row>
    <row r="155" spans="1:11">
      <c r="A155" s="11">
        <f>='服务进度表-交付实施'!A155</f>
        <v>154</v>
      </c>
      <c r="C155" s="11" t="s">
        <f>='服务进度表-交付实施'!C155</f>
        <v>195</v>
      </c>
      <c r="D155" s="8" t="s">
        <f>='服务进度表-交付实施'!D155</f>
        <v>12</v>
      </c>
      <c r="E155" s="12">
        <f>='服务进度表-交付实施'!J155</f>
        <v>0</v>
      </c>
      <c r="F155" s="8">
        <f>='服务进度表-交付实施'!L155</f>
        <v>0</v>
      </c>
      <c r="G155" s="13">
        <f>='服务进度表-交付实施'!M155</f>
        <v>0</v>
      </c>
      <c r="H155" s="9">
        <f>=WORKDAY(E155,5)</f>
        <v>6</v>
      </c>
      <c r="I155" s="9">
        <f>=WORKDAY(H155,1)</f>
        <v>9</v>
      </c>
      <c r="J155" s="9">
        <f>=WORKDAY(I155,5)</f>
        <v>16</v>
      </c>
      <c r="K155" s="9">
        <f>=WORKDAY(H155,5)</f>
        <v>13</v>
      </c>
    </row>
    <row r="156" spans="1:11">
      <c r="A156" s="11">
        <f>='服务进度表-交付实施'!A156</f>
        <v>155</v>
      </c>
      <c r="C156" s="11" t="s">
        <f>='服务进度表-交付实施'!C156</f>
        <v>196</v>
      </c>
      <c r="D156" s="8" t="s">
        <f>='服务进度表-交付实施'!D156</f>
        <v>12</v>
      </c>
      <c r="E156" s="12">
        <f>='服务进度表-交付实施'!J156</f>
        <v>46114</v>
      </c>
      <c r="F156" s="8" t="s">
        <f>='服务进度表-交付实施'!L156</f>
        <v>26</v>
      </c>
      <c r="G156" s="13">
        <f>='服务进度表-交付实施'!M156</f>
        <v>46122</v>
      </c>
      <c r="H156" s="9">
        <f>=WORKDAY(E156,5)</f>
        <v>46121</v>
      </c>
      <c r="I156" s="9">
        <f>=WORKDAY(H156,1)</f>
        <v>46122</v>
      </c>
      <c r="J156" s="9">
        <f>=WORKDAY(I156,5)</f>
        <v>46129</v>
      </c>
      <c r="K156" s="9">
        <f>=WORKDAY(H156,5)</f>
        <v>46128</v>
      </c>
    </row>
    <row r="157" spans="1:11">
      <c r="A157" s="11">
        <f>='服务进度表-交付实施'!A157</f>
        <v>156</v>
      </c>
      <c r="C157" s="11" t="s">
        <f>='服务进度表-交付实施'!C157</f>
        <v>197</v>
      </c>
      <c r="D157" s="8" t="s">
        <f>='服务进度表-交付实施'!D157</f>
        <v>12</v>
      </c>
      <c r="E157" s="12">
        <f>='服务进度表-交付实施'!J157</f>
        <v>46113</v>
      </c>
      <c r="F157" s="8" t="s">
        <f>='服务进度表-交付实施'!L157</f>
        <v>26</v>
      </c>
      <c r="G157" s="13">
        <f>='服务进度表-交付实施'!M157</f>
        <v>46125</v>
      </c>
      <c r="H157" s="9">
        <f>=WORKDAY(E157,5)</f>
        <v>46120</v>
      </c>
      <c r="I157" s="9">
        <f>=WORKDAY(H157,1)</f>
        <v>46121</v>
      </c>
      <c r="J157" s="9">
        <f>=WORKDAY(I157,5)</f>
        <v>46128</v>
      </c>
      <c r="K157" s="9">
        <f>=WORKDAY(H157,5)</f>
        <v>46127</v>
      </c>
    </row>
    <row r="158" spans="1:11">
      <c r="A158" s="11">
        <f>='服务进度表-交付实施'!A158</f>
        <v>157</v>
      </c>
      <c r="C158" s="11" t="s">
        <f>='服务进度表-交付实施'!C158</f>
        <v>198</v>
      </c>
      <c r="D158" s="8" t="s">
        <f>='服务进度表-交付实施'!D158</f>
        <v>15</v>
      </c>
      <c r="E158" s="12">
        <f>='服务进度表-交付实施'!J158</f>
        <v>46125</v>
      </c>
      <c r="F158" s="8">
        <f>='服务进度表-交付实施'!L158</f>
        <v>0</v>
      </c>
      <c r="G158" s="13">
        <f>='服务进度表-交付实施'!M158</f>
        <v>0</v>
      </c>
      <c r="H158" s="9">
        <f>=WORKDAY(E158,5)</f>
        <v>46132</v>
      </c>
      <c r="I158" s="9">
        <f>=WORKDAY(H158,1)</f>
        <v>46133</v>
      </c>
      <c r="J158" s="9">
        <f>=WORKDAY(I158,5)</f>
        <v>46140</v>
      </c>
      <c r="K158" s="9">
        <f>=WORKDAY(H158,5)</f>
        <v>46139</v>
      </c>
    </row>
    <row r="159" spans="1:11">
      <c r="A159" s="11">
        <f>='服务进度表-交付实施'!A159</f>
        <v>158</v>
      </c>
      <c r="C159" s="11" t="s">
        <f>='服务进度表-交付实施'!C159</f>
        <v>199</v>
      </c>
      <c r="D159" s="8" t="s">
        <f>='服务进度表-交付实施'!D159</f>
        <v>15</v>
      </c>
      <c r="E159" s="12">
        <f>='服务进度表-交付实施'!J159</f>
        <v>46119</v>
      </c>
      <c r="F159" s="8" t="s">
        <f>='服务进度表-交付实施'!L159</f>
        <v>192</v>
      </c>
      <c r="G159" s="13">
        <f>='服务进度表-交付实施'!M159</f>
        <v>0</v>
      </c>
      <c r="H159" s="9">
        <f>=WORKDAY(E159,5)</f>
        <v>46126</v>
      </c>
      <c r="I159" s="9">
        <f>=WORKDAY(H159,1)</f>
        <v>46127</v>
      </c>
      <c r="J159" s="9">
        <f>=WORKDAY(I159,5)</f>
        <v>46134</v>
      </c>
      <c r="K159" s="9">
        <f>=WORKDAY(H159,5)</f>
        <v>46133</v>
      </c>
    </row>
    <row r="160" spans="1:11">
      <c r="A160" s="11">
        <f>='服务进度表-交付实施'!A160</f>
        <v>159</v>
      </c>
      <c r="C160" s="11" t="s">
        <f>='服务进度表-交付实施'!C160</f>
        <v>200</v>
      </c>
      <c r="D160" s="8" t="s">
        <f>='服务进度表-交付实施'!D160</f>
        <v>12</v>
      </c>
      <c r="E160" s="12">
        <f>='服务进度表-交付实施'!J160</f>
        <v>46120</v>
      </c>
      <c r="F160" s="8" t="s">
        <f>='服务进度表-交付实施'!L160</f>
        <v>35</v>
      </c>
      <c r="G160" s="13">
        <f>='服务进度表-交付实施'!M160</f>
        <v>0</v>
      </c>
      <c r="H160" s="9">
        <f>=WORKDAY(E160,5)</f>
        <v>46127</v>
      </c>
      <c r="I160" s="9">
        <f>=WORKDAY(H160,1)</f>
        <v>46128</v>
      </c>
      <c r="J160" s="9">
        <f>=WORKDAY(I160,5)</f>
        <v>46135</v>
      </c>
      <c r="K160" s="9">
        <f>=WORKDAY(H160,5)</f>
        <v>46134</v>
      </c>
    </row>
    <row r="161" spans="1:11">
      <c r="A161" s="11">
        <f>='服务进度表-交付实施'!A161</f>
        <v>160</v>
      </c>
      <c r="C161" s="11" t="s">
        <f>='服务进度表-交付实施'!C161</f>
        <v>201</v>
      </c>
      <c r="D161" s="8" t="s">
        <f>='服务进度表-交付实施'!D161</f>
        <v>12</v>
      </c>
      <c r="E161" s="12">
        <f>='服务进度表-交付实施'!J161</f>
        <v>46119</v>
      </c>
      <c r="F161" s="8" t="s">
        <f>='服务进度表-交付实施'!L161</f>
        <v>18</v>
      </c>
      <c r="G161" s="13">
        <f>='服务进度表-交付实施'!M161</f>
        <v>0</v>
      </c>
      <c r="H161" s="9">
        <f>=WORKDAY(E161,5)</f>
        <v>46126</v>
      </c>
      <c r="I161" s="9">
        <f>=WORKDAY(H161,1)</f>
        <v>46127</v>
      </c>
      <c r="J161" s="9">
        <f>=WORKDAY(I161,5)</f>
        <v>46134</v>
      </c>
      <c r="K161" s="9">
        <f>=WORKDAY(H161,5)</f>
        <v>46133</v>
      </c>
    </row>
    <row r="162" spans="1:11">
      <c r="A162" s="11">
        <f>='服务进度表-交付实施'!A162</f>
        <v>161</v>
      </c>
      <c r="C162" s="11" t="s">
        <f>='服务进度表-交付实施'!C162</f>
        <v>202</v>
      </c>
      <c r="D162" s="8" t="s">
        <f>='服务进度表-交付实施'!D162</f>
        <v>12</v>
      </c>
      <c r="E162" s="12">
        <f>='服务进度表-交付实施'!J162</f>
        <v>46120</v>
      </c>
      <c r="F162" s="8" t="s">
        <f>='服务进度表-交付实施'!L162</f>
        <v>35</v>
      </c>
      <c r="G162" s="13">
        <f>='服务进度表-交付实施'!M162</f>
        <v>0</v>
      </c>
      <c r="H162" s="9">
        <f>=WORKDAY(E162,5)</f>
        <v>46127</v>
      </c>
      <c r="I162" s="9">
        <f>=WORKDAY(H162,1)</f>
        <v>46128</v>
      </c>
      <c r="J162" s="9">
        <f>=WORKDAY(I162,5)</f>
        <v>46135</v>
      </c>
      <c r="K162" s="9">
        <f>=WORKDAY(H162,5)</f>
        <v>46134</v>
      </c>
    </row>
    <row r="163" spans="1:11">
      <c r="A163" s="11">
        <f>='服务进度表-交付实施'!A163</f>
        <v>162</v>
      </c>
      <c r="C163" s="11" t="s">
        <f>='服务进度表-交付实施'!C163</f>
        <v>203</v>
      </c>
      <c r="D163" s="8" t="s">
        <f>='服务进度表-交付实施'!D163</f>
        <v>12</v>
      </c>
      <c r="E163" s="12">
        <f>='服务进度表-交付实施'!J163</f>
        <v>0</v>
      </c>
      <c r="F163" s="8">
        <f>='服务进度表-交付实施'!L163</f>
        <v>0</v>
      </c>
      <c r="G163" s="13">
        <f>='服务进度表-交付实施'!M163</f>
        <v>0</v>
      </c>
      <c r="H163" s="9">
        <f>=WORKDAY(E163,5)</f>
        <v>6</v>
      </c>
      <c r="I163" s="9">
        <f>=WORKDAY(H163,1)</f>
        <v>9</v>
      </c>
      <c r="J163" s="9">
        <f>=WORKDAY(I163,5)</f>
        <v>16</v>
      </c>
      <c r="K163" s="9">
        <f>=WORKDAY(H163,5)</f>
        <v>13</v>
      </c>
    </row>
    <row r="164" spans="1:11">
      <c r="A164" s="11">
        <f>='服务进度表-交付实施'!A164</f>
        <v>163</v>
      </c>
      <c r="C164" s="11" t="s">
        <f>='服务进度表-交付实施'!C164</f>
        <v>204</v>
      </c>
      <c r="D164" s="8" t="s">
        <f>='服务进度表-交付实施'!D164</f>
        <v>12</v>
      </c>
      <c r="E164" s="12">
        <f>='服务进度表-交付实施'!J164</f>
        <v>46121</v>
      </c>
      <c r="F164" s="8" t="s">
        <f>='服务进度表-交付实施'!L164</f>
        <v>18</v>
      </c>
      <c r="G164" s="13">
        <f>='服务进度表-交付实施'!M164</f>
        <v>0</v>
      </c>
      <c r="H164" s="9">
        <f>=WORKDAY(E164,5)</f>
        <v>46128</v>
      </c>
      <c r="I164" s="9">
        <f>=WORKDAY(H164,1)</f>
        <v>46129</v>
      </c>
      <c r="J164" s="9">
        <f>=WORKDAY(I164,5)</f>
        <v>46136</v>
      </c>
      <c r="K164" s="9">
        <f>=WORKDAY(H164,5)</f>
        <v>46135</v>
      </c>
    </row>
    <row r="165" spans="1:11">
      <c r="A165" s="11">
        <f>='服务进度表-交付实施'!A165</f>
        <v>164</v>
      </c>
      <c r="C165" s="11" t="s">
        <f>='服务进度表-交付实施'!C165</f>
        <v>205</v>
      </c>
      <c r="D165" s="8" t="s">
        <f>='服务进度表-交付实施'!D165</f>
        <v>12</v>
      </c>
      <c r="E165" s="12">
        <f>='服务进度表-交付实施'!J165</f>
        <v>0</v>
      </c>
      <c r="F165" s="8">
        <f>='服务进度表-交付实施'!L165</f>
        <v>0</v>
      </c>
      <c r="G165" s="13">
        <f>='服务进度表-交付实施'!M165</f>
        <v>0</v>
      </c>
      <c r="H165" s="9">
        <f>=WORKDAY(E165,5)</f>
        <v>6</v>
      </c>
      <c r="I165" s="9">
        <f>=WORKDAY(H165,1)</f>
        <v>9</v>
      </c>
      <c r="J165" s="9">
        <f>=WORKDAY(I165,5)</f>
        <v>16</v>
      </c>
      <c r="K165" s="9">
        <f>=WORKDAY(H165,5)</f>
        <v>13</v>
      </c>
    </row>
    <row r="166" spans="1:11">
      <c r="A166" s="11">
        <f>='服务进度表-交付实施'!A166</f>
        <v>165</v>
      </c>
      <c r="C166" s="11" t="s">
        <f>='服务进度表-交付实施'!C166</f>
        <v>206</v>
      </c>
      <c r="D166" s="8" t="s">
        <f>='服务进度表-交付实施'!D166</f>
        <v>12</v>
      </c>
      <c r="E166" s="12">
        <f>='服务进度表-交付实施'!J166</f>
        <v>46119</v>
      </c>
      <c r="F166" s="8" t="s">
        <f>='服务进度表-交付实施'!L166</f>
        <v>35</v>
      </c>
      <c r="G166" s="13">
        <f>='服务进度表-交付实施'!M166</f>
        <v>0</v>
      </c>
      <c r="H166" s="9">
        <f>=WORKDAY(E166,5)</f>
        <v>46126</v>
      </c>
      <c r="I166" s="9">
        <f>=WORKDAY(H166,1)</f>
        <v>46127</v>
      </c>
      <c r="J166" s="9">
        <f>=WORKDAY(I166,5)</f>
        <v>46134</v>
      </c>
      <c r="K166" s="9">
        <f>=WORKDAY(H166,5)</f>
        <v>46133</v>
      </c>
    </row>
    <row r="167" spans="1:11">
      <c r="A167" s="11">
        <f>='服务进度表-交付实施'!A167</f>
        <v>166</v>
      </c>
      <c r="C167" s="11" t="s">
        <f>='服务进度表-交付实施'!C167</f>
        <v>207</v>
      </c>
      <c r="D167" s="8" t="s">
        <f>='服务进度表-交付实施'!D167</f>
        <v>15</v>
      </c>
      <c r="E167" s="12">
        <f>='服务进度表-交付实施'!J167</f>
        <v>46121</v>
      </c>
      <c r="F167" s="8" t="s">
        <f>='服务进度表-交付实施'!L167</f>
        <v>129</v>
      </c>
      <c r="G167" s="13">
        <f>='服务进度表-交付实施'!M167</f>
        <v>0</v>
      </c>
      <c r="H167" s="9">
        <f>=WORKDAY(E167,5)</f>
        <v>46128</v>
      </c>
      <c r="I167" s="9">
        <f>=WORKDAY(H167,1)</f>
        <v>46129</v>
      </c>
      <c r="J167" s="9">
        <f>=WORKDAY(I167,5)</f>
        <v>46136</v>
      </c>
      <c r="K167" s="9">
        <f>=WORKDAY(H167,5)</f>
        <v>46135</v>
      </c>
    </row>
    <row r="168" spans="1:3">
      <c r="A168" s="14" t="s"/>
      <c r="C168" s="14" t="s"/>
    </row>
    <row r="169" spans="1:3">
      <c r="A169" s="14" t="s"/>
      <c r="C169" s="14" t="s"/>
    </row>
    <row r="170" spans="1:3">
      <c r="A170" s="14" t="s"/>
      <c r="C170" s="14" t="s"/>
    </row>
    <row r="171" spans="1:3">
      <c r="A171" s="14" t="s"/>
      <c r="C171" s="14" t="s"/>
    </row>
    <row r="172" spans="1:3">
      <c r="A172" s="14" t="s"/>
      <c r="C172" s="14" t="s"/>
    </row>
    <row r="173" spans="1:3">
      <c r="A173" s="14" t="s"/>
      <c r="C173" s="14" t="s"/>
    </row>
    <row r="174" spans="1:3">
      <c r="A174" s="14" t="s"/>
      <c r="C174" s="14" t="s"/>
    </row>
    <row r="175" spans="1:3">
      <c r="A175" s="14" t="s"/>
      <c r="C175" s="14" t="s"/>
    </row>
    <row r="176" spans="1:3">
      <c r="A176" s="14" t="s"/>
      <c r="C176" s="14" t="s"/>
    </row>
    <row r="177" spans="1:3">
      <c r="A177" s="14" t="s"/>
      <c r="C177" s="14" t="s"/>
    </row>
    <row r="178" spans="1:3">
      <c r="A178" s="14" t="s"/>
      <c r="C178" s="14" t="s"/>
    </row>
    <row r="179" spans="1:3">
      <c r="A179" s="14" t="s"/>
      <c r="C179" s="14" t="s"/>
    </row>
    <row r="180" spans="1:3">
      <c r="A180" s="14" t="s"/>
      <c r="C180" s="14" t="s"/>
    </row>
    <row r="181" spans="1:3">
      <c r="A181" s="14" t="s"/>
      <c r="C181" s="14" t="s"/>
    </row>
    <row r="182" spans="1:3">
      <c r="A182" s="14" t="s"/>
      <c r="C182" s="14" t="s"/>
    </row>
    <row r="183" spans="1:3">
      <c r="A183" s="14" t="s"/>
      <c r="C183" s="14" t="s"/>
    </row>
    <row r="184" spans="1:3">
      <c r="A184" s="14" t="s"/>
      <c r="C184" s="14" t="s"/>
    </row>
    <row r="185" spans="1:3">
      <c r="A185" s="14" t="s"/>
      <c r="C185" s="14" t="s"/>
    </row>
    <row r="186" spans="1:3">
      <c r="A186" s="14" t="s"/>
      <c r="C186" s="14" t="s"/>
    </row>
    <row r="187" spans="1:3">
      <c r="A187" s="14" t="s"/>
      <c r="C187" s="14" t="s"/>
    </row>
    <row r="188" spans="1:3">
      <c r="A188" s="14" t="s"/>
      <c r="C188" s="14" t="s"/>
    </row>
    <row r="189" spans="1:3">
      <c r="A189" s="14" t="s"/>
      <c r="C189" s="14" t="s"/>
    </row>
    <row r="190" spans="1:3">
      <c r="A190" s="14" t="s"/>
      <c r="C190" s="14" t="s"/>
    </row>
    <row r="191" spans="1:3">
      <c r="A191" s="14" t="s"/>
      <c r="C191" s="14" t="s"/>
    </row>
    <row r="192" spans="1:3">
      <c r="A192" s="14" t="s"/>
      <c r="C192" s="14" t="s"/>
    </row>
    <row r="193" spans="1:3">
      <c r="A193" s="14" t="s"/>
      <c r="C193" s="14" t="s"/>
    </row>
    <row r="194" spans="1:3">
      <c r="A194" s="14" t="s"/>
      <c r="C194" s="14" t="s"/>
    </row>
    <row r="195" spans="1:3">
      <c r="A195" s="14" t="s"/>
      <c r="C195" s="14" t="s"/>
    </row>
    <row r="196" spans="1:3">
      <c r="A196" s="14" t="s"/>
      <c r="C196" s="14" t="s"/>
    </row>
    <row r="197" spans="1:3">
      <c r="A197" s="14" t="s"/>
      <c r="C197" s="14" t="s"/>
    </row>
    <row r="198" spans="1:3">
      <c r="A198" s="14" t="s"/>
      <c r="C198" s="14" t="s"/>
    </row>
    <row r="199" spans="1:3">
      <c r="A199" s="14" t="s"/>
      <c r="C199" s="14" t="s"/>
    </row>
    <row r="200" spans="1:3">
      <c r="A200" s="14" t="s"/>
      <c r="C200" s="14" t="s"/>
    </row>
    <row r="201" spans="1:3">
      <c r="A201" s="14" t="s"/>
      <c r="C201" s="14" t="s"/>
    </row>
    <row r="202" spans="1:3">
      <c r="A202" s="14" t="s"/>
      <c r="C202" s="14" t="s"/>
    </row>
    <row r="203" spans="1:3">
      <c r="A203" s="14" t="s"/>
      <c r="C203" s="14" t="s"/>
    </row>
    <row r="204" spans="1:3">
      <c r="A204" s="14" t="s"/>
      <c r="C204" s="14" t="s"/>
    </row>
    <row r="205" spans="1:3">
      <c r="A205" s="14" t="s"/>
      <c r="C205" s="14" t="s"/>
    </row>
    <row r="206" spans="1:3">
      <c r="A206" s="14" t="s"/>
      <c r="C206" s="14" t="s"/>
    </row>
    <row r="207" spans="1:3">
      <c r="A207" s="14" t="s"/>
      <c r="C207" s="14" t="s"/>
    </row>
    <row r="208" spans="1:3">
      <c r="A208" s="14" t="s"/>
      <c r="C208" s="14" t="s"/>
    </row>
    <row r="209" spans="1:3">
      <c r="A209" s="14" t="s"/>
      <c r="C209" s="14" t="s"/>
    </row>
    <row r="210" spans="1:3">
      <c r="A210" s="14" t="s"/>
      <c r="C210" s="14" t="s"/>
    </row>
    <row r="211" spans="1:3">
      <c r="A211" s="14" t="s"/>
      <c r="C211" s="14" t="s"/>
    </row>
    <row r="212" spans="1:3">
      <c r="A212" s="14" t="s"/>
      <c r="C212" s="14" t="s"/>
    </row>
    <row r="213" spans="1:3">
      <c r="A213" s="14" t="s"/>
      <c r="C213" s="14" t="s"/>
    </row>
    <row r="214" spans="1:3">
      <c r="A214" s="14" t="s"/>
      <c r="C214" s="14" t="s"/>
    </row>
    <row r="215" spans="1:3">
      <c r="A215" s="14" t="s"/>
      <c r="C215" s="14" t="s"/>
    </row>
    <row r="216" spans="1:3">
      <c r="A216" s="14" t="s"/>
      <c r="C216" s="14"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2026-04-14T14:03:20Z</dcterms:created>
  <dcterms:modified xsi:type="dcterms:W3CDTF">2026-04-14T14:03:20Z</dcterms:modified>
</cp:coreProperties>
</file>